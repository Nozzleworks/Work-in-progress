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KBO Estim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€#,##0.00;(€#,##0.00);&quot;-&quot;"/>
    <numFmt numFmtId="165" formatCode="0.0000"/>
    <numFmt numFmtId="166" formatCode="&quot;NZ$&quot;#,##0.00;(&quot;NZ$&quot;#,##0.00);&quot;-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000000"/>
    </font>
    <font>
      <name val="Arial"/>
      <i val="1"/>
      <color rgb="00C00000"/>
    </font>
    <font>
      <name val="Arial"/>
      <b val="1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0" fontId="5" fillId="3" borderId="1" applyAlignment="1" pivotButton="0" quotePrefix="0" xfId="0">
      <alignment horizontal="center"/>
    </xf>
    <xf numFmtId="164" fontId="5" fillId="3" borderId="1" pivotButton="0" quotePrefix="0" xfId="0"/>
    <xf numFmtId="164" fontId="4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4" fillId="0" borderId="0" applyAlignment="1" pivotButton="0" quotePrefix="0" xfId="0">
      <alignment horizontal="right"/>
    </xf>
    <xf numFmtId="1" fontId="4" fillId="0" borderId="1" pivotButton="0" quotePrefix="0" xfId="0"/>
    <xf numFmtId="0" fontId="8" fillId="0" borderId="0" applyAlignment="1" pivotButton="0" quotePrefix="0" xfId="0">
      <alignment horizontal="right"/>
    </xf>
    <xf numFmtId="164" fontId="8" fillId="0" borderId="1" pivotButton="0" quotePrefix="0" xfId="0"/>
    <xf numFmtId="165" fontId="5" fillId="3" borderId="1" pivotButton="0" quotePrefix="0" xfId="0"/>
    <xf numFmtId="166" fontId="8" fillId="0" borderId="1" pivotButton="0" quotePrefix="0" xfId="0"/>
    <xf numFmtId="9" fontId="5" fillId="3" borderId="1" pivotButton="0" quotePrefix="0" xfId="0"/>
    <xf numFmtId="166" fontId="4" fillId="0" borderId="1" pivotButton="0" quotePrefix="0" xfId="0"/>
    <xf numFmtId="166" fontId="8" fillId="4" borderId="1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Estimate</author>
  </authors>
  <commentList>
    <comment ref="F30" authorId="0" shapeId="0">
      <text>
        <t>Enter AKBO's freight quote to NZ, if known.</t>
      </text>
    </comment>
    <comment ref="F33" authorId="0" shapeId="0">
      <text>
        <t>Enter the current EUR to NZD rate (e.g. from your bank on the day of purchase).</t>
      </text>
    </comment>
    <comment ref="F35" authorId="0" shapeId="0">
      <text>
        <t>NZ GST 15% charged on import (on value + freight). Set to 0% to exclude.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7" customWidth="1" min="4" max="4"/>
    <col width="22" customWidth="1" min="5" max="5"/>
    <col width="22" customWidth="1" min="6" max="6"/>
    <col width="34" customWidth="1" min="7" max="7"/>
  </cols>
  <sheetData>
    <row r="1">
      <c r="A1" s="1" t="inlineStr">
        <is>
          <t>AKBO Purchase - Cost Estimate</t>
        </is>
      </c>
    </row>
    <row r="2">
      <c r="A2" s="2" t="inlineStr">
        <is>
          <t>Enter prices in the yellow cells (blue text = inputs). Totals update automatically. Prices could not be pulled from akbo.nl, so they are left blank.</t>
        </is>
      </c>
    </row>
    <row r="4" ht="30" customHeight="1">
      <c r="A4" s="3" t="inlineStr">
        <is>
          <t>#</t>
        </is>
      </c>
      <c r="B4" s="3" t="inlineStr">
        <is>
          <t>AKBO Code</t>
        </is>
      </c>
      <c r="C4" s="3" t="inlineStr">
        <is>
          <t>Description</t>
        </is>
      </c>
      <c r="D4" s="3" t="inlineStr">
        <is>
          <t>Qty</t>
        </is>
      </c>
      <c r="E4" s="3" t="inlineStr">
        <is>
          <t>Unit Price (EUR, ex VAT)</t>
        </is>
      </c>
      <c r="F4" s="3" t="inlineStr">
        <is>
          <t>Line Total (EUR)</t>
        </is>
      </c>
      <c r="G4" s="3" t="inlineStr">
        <is>
          <t>Notes</t>
        </is>
      </c>
    </row>
    <row r="5">
      <c r="A5" s="4" t="n">
        <v>1</v>
      </c>
      <c r="B5" s="5" t="inlineStr">
        <is>
          <t>AKRSV01-B</t>
        </is>
      </c>
      <c r="C5" s="5" t="inlineStr">
        <is>
          <t>Squeeze valve - multi-functional cleaning valve, blue</t>
        </is>
      </c>
      <c r="D5" s="6" t="n">
        <v>1</v>
      </c>
      <c r="E5" s="7" t="n"/>
      <c r="F5" s="8">
        <f>D5*E5</f>
        <v/>
      </c>
      <c r="G5" s="9" t="inlineStr"/>
    </row>
    <row r="6">
      <c r="A6" s="4" t="n">
        <v>2</v>
      </c>
      <c r="B6" s="5" t="inlineStr">
        <is>
          <t>AKRSHHL1-BL</t>
        </is>
      </c>
      <c r="C6" s="5" t="inlineStr">
        <is>
          <t>Low flow spray head cleaning gun</t>
        </is>
      </c>
      <c r="D6" s="6" t="n">
        <v>1</v>
      </c>
      <c r="E6" s="7" t="n"/>
      <c r="F6" s="8">
        <f>D6*E6</f>
        <v/>
      </c>
      <c r="G6" s="9" t="inlineStr"/>
    </row>
    <row r="7">
      <c r="A7" s="4" t="n">
        <v>3</v>
      </c>
      <c r="B7" s="5" t="inlineStr">
        <is>
          <t>AKRS001-B</t>
        </is>
      </c>
      <c r="C7" s="5" t="inlineStr">
        <is>
          <t>Stainless steel (AISI304) shower head, blue</t>
        </is>
      </c>
      <c r="D7" s="6" t="n">
        <v>1</v>
      </c>
      <c r="E7" s="7" t="n"/>
      <c r="F7" s="8">
        <f>D7*E7</f>
        <v/>
      </c>
      <c r="G7" s="9" t="inlineStr"/>
    </row>
    <row r="8">
      <c r="A8" s="4" t="n">
        <v>4</v>
      </c>
      <c r="B8" s="5" t="inlineStr">
        <is>
          <t>AKRSHHL4-BL</t>
        </is>
      </c>
      <c r="C8" s="5" t="inlineStr">
        <is>
          <t>Spray head cleaning gun</t>
        </is>
      </c>
      <c r="D8" s="6" t="n">
        <v>1</v>
      </c>
      <c r="E8" s="7" t="n"/>
      <c r="F8" s="8">
        <f>D8*E8</f>
        <v/>
      </c>
      <c r="G8" s="10" t="inlineStr">
        <is>
          <t>Description not confirmed</t>
        </is>
      </c>
    </row>
    <row r="9">
      <c r="A9" s="4" t="n">
        <v>5</v>
      </c>
      <c r="B9" s="5" t="inlineStr">
        <is>
          <t>TWRWR02M</t>
        </is>
      </c>
      <c r="C9" s="5" t="inlineStr">
        <is>
          <t>Twister stainless steel industrial spray head, model M</t>
        </is>
      </c>
      <c r="D9" s="6" t="n">
        <v>1</v>
      </c>
      <c r="E9" s="7" t="n"/>
      <c r="F9" s="8">
        <f>D9*E9</f>
        <v/>
      </c>
      <c r="G9" s="10" t="inlineStr">
        <is>
          <t>Listed twice in your request</t>
        </is>
      </c>
    </row>
    <row r="10">
      <c r="A10" s="4" t="n">
        <v>6</v>
      </c>
      <c r="B10" s="5" t="inlineStr">
        <is>
          <t>BMFTP11-B-PRIN</t>
        </is>
      </c>
      <c r="C10" s="5" t="inlineStr">
        <is>
          <t>Blue Princess economy water pistol with trigger guard</t>
        </is>
      </c>
      <c r="D10" s="6" t="n">
        <v>1</v>
      </c>
      <c r="E10" s="7" t="n"/>
      <c r="F10" s="8">
        <f>D10*E10</f>
        <v/>
      </c>
      <c r="G10" s="9" t="inlineStr"/>
    </row>
    <row r="11">
      <c r="A11" s="4" t="n">
        <v>7</v>
      </c>
      <c r="B11" s="5" t="inlineStr">
        <is>
          <t>AKMN001-B</t>
        </is>
      </c>
      <c r="C11" s="5" t="inlineStr">
        <is>
          <t>Standard flow water gun (brass), blue</t>
        </is>
      </c>
      <c r="D11" s="6" t="n">
        <v>1</v>
      </c>
      <c r="E11" s="7" t="n"/>
      <c r="F11" s="8">
        <f>D11*E11</f>
        <v/>
      </c>
      <c r="G11" s="9" t="inlineStr"/>
    </row>
    <row r="12">
      <c r="A12" s="4" t="n">
        <v>8</v>
      </c>
      <c r="B12" s="5" t="inlineStr">
        <is>
          <t>AKNN001-B</t>
        </is>
      </c>
      <c r="C12" s="5" t="inlineStr">
        <is>
          <t>Lightweight glass-reinforced PA66 water gun, blue</t>
        </is>
      </c>
      <c r="D12" s="6" t="n">
        <v>1</v>
      </c>
      <c r="E12" s="7" t="n"/>
      <c r="F12" s="8">
        <f>D12*E12</f>
        <v/>
      </c>
      <c r="G12" s="9" t="inlineStr"/>
    </row>
    <row r="13">
      <c r="A13" s="4" t="n">
        <v>9</v>
      </c>
      <c r="B13" s="5" t="inlineStr">
        <is>
          <t>BABTN01-B</t>
        </is>
      </c>
      <c r="C13" s="5" t="inlineStr"/>
      <c r="D13" s="6" t="n">
        <v>1</v>
      </c>
      <c r="E13" s="7" t="n"/>
      <c r="F13" s="8">
        <f>D13*E13</f>
        <v/>
      </c>
      <c r="G13" s="10" t="inlineStr">
        <is>
          <t>Description not confirmed</t>
        </is>
      </c>
    </row>
    <row r="14">
      <c r="A14" s="4" t="n">
        <v>10</v>
      </c>
      <c r="B14" s="5" t="inlineStr">
        <is>
          <t>AKRHP01-R</t>
        </is>
      </c>
      <c r="C14" s="5" t="inlineStr">
        <is>
          <t>Stainless steel hot-water gun with trigger protection, red</t>
        </is>
      </c>
      <c r="D14" s="6" t="n">
        <v>1</v>
      </c>
      <c r="E14" s="7" t="n"/>
      <c r="F14" s="8">
        <f>D14*E14</f>
        <v/>
      </c>
      <c r="G14" s="9" t="inlineStr"/>
    </row>
    <row r="15">
      <c r="A15" s="4" t="n">
        <v>11</v>
      </c>
      <c r="B15" s="5" t="inlineStr">
        <is>
          <t>AKKS003-B</t>
        </is>
      </c>
      <c r="C15" s="5" t="inlineStr">
        <is>
          <t>Plastic shower head, blue</t>
        </is>
      </c>
      <c r="D15" s="6" t="n">
        <v>1</v>
      </c>
      <c r="E15" s="7" t="n"/>
      <c r="F15" s="8">
        <f>D15*E15</f>
        <v/>
      </c>
      <c r="G15" s="9" t="inlineStr"/>
    </row>
    <row r="16">
      <c r="A16" s="4" t="n">
        <v>12</v>
      </c>
      <c r="B16" s="5" t="inlineStr">
        <is>
          <t>AKAWLU1-B</t>
        </is>
      </c>
      <c r="C16" s="5" t="inlineStr"/>
      <c r="D16" s="6" t="n">
        <v>1</v>
      </c>
      <c r="E16" s="7" t="n"/>
      <c r="F16" s="8">
        <f>D16*E16</f>
        <v/>
      </c>
      <c r="G16" s="10" t="inlineStr">
        <is>
          <t>Description not confirmed</t>
        </is>
      </c>
    </row>
    <row r="17">
      <c r="A17" s="4" t="n">
        <v>13</v>
      </c>
      <c r="B17" s="5" t="inlineStr">
        <is>
          <t>AGIL572</t>
        </is>
      </c>
      <c r="C17" s="5" t="inlineStr">
        <is>
          <t>Light duty water gun</t>
        </is>
      </c>
      <c r="D17" s="6" t="n">
        <v>1</v>
      </c>
      <c r="E17" s="7" t="n"/>
      <c r="F17" s="8">
        <f>D17*E17</f>
        <v/>
      </c>
      <c r="G17" s="9" t="inlineStr"/>
    </row>
    <row r="18">
      <c r="A18" s="4" t="n">
        <v>14</v>
      </c>
      <c r="B18" s="5" t="inlineStr">
        <is>
          <t>BABTLF1-B-V</t>
        </is>
      </c>
      <c r="C18" s="5" t="inlineStr"/>
      <c r="D18" s="6" t="n">
        <v>1</v>
      </c>
      <c r="E18" s="7" t="n"/>
      <c r="F18" s="8">
        <f>D18*E18</f>
        <v/>
      </c>
      <c r="G18" s="10" t="inlineStr">
        <is>
          <t>Description not confirmed</t>
        </is>
      </c>
    </row>
    <row r="19">
      <c r="A19" s="4" t="n">
        <v>15</v>
      </c>
      <c r="B19" s="5" t="inlineStr">
        <is>
          <t>AKWMM01</t>
        </is>
      </c>
      <c r="C19" s="5" t="inlineStr">
        <is>
          <t>Water saver, brass, model M, 3/4" female</t>
        </is>
      </c>
      <c r="D19" s="6" t="n">
        <v>1</v>
      </c>
      <c r="E19" s="7" t="n"/>
      <c r="F19" s="8">
        <f>D19*E19</f>
        <v/>
      </c>
      <c r="G19" s="9" t="inlineStr"/>
    </row>
    <row r="20">
      <c r="A20" s="4" t="n">
        <v>16</v>
      </c>
      <c r="B20" s="5" t="inlineStr">
        <is>
          <t>WRWR02XL</t>
        </is>
      </c>
      <c r="C20" s="5" t="inlineStr">
        <is>
          <t>Twister spray head, model XL (?)</t>
        </is>
      </c>
      <c r="D20" s="6" t="n">
        <v>1</v>
      </c>
      <c r="E20" s="7" t="n"/>
      <c r="F20" s="8">
        <f>D20*E20</f>
        <v/>
      </c>
      <c r="G20" s="10" t="inlineStr">
        <is>
          <t>Check code - probably TWRWR02XL</t>
        </is>
      </c>
    </row>
    <row r="21">
      <c r="A21" s="4" t="n">
        <v>17</v>
      </c>
      <c r="B21" s="5" t="inlineStr">
        <is>
          <t>TWRWR02L</t>
        </is>
      </c>
      <c r="C21" s="5" t="inlineStr">
        <is>
          <t>Twister stainless steel industrial spray head, model L</t>
        </is>
      </c>
      <c r="D21" s="6" t="n">
        <v>1</v>
      </c>
      <c r="E21" s="7" t="n"/>
      <c r="F21" s="8">
        <f>D21*E21</f>
        <v/>
      </c>
      <c r="G21" s="9" t="inlineStr"/>
    </row>
    <row r="22">
      <c r="A22" s="4" t="n">
        <v>18</v>
      </c>
      <c r="B22" s="5" t="inlineStr">
        <is>
          <t>TWRWR02M</t>
        </is>
      </c>
      <c r="C22" s="5" t="inlineStr">
        <is>
          <t>Twister stainless steel industrial spray head, model M</t>
        </is>
      </c>
      <c r="D22" s="6" t="n">
        <v>1</v>
      </c>
      <c r="E22" s="7" t="n"/>
      <c r="F22" s="8">
        <f>D22*E22</f>
        <v/>
      </c>
      <c r="G22" s="10" t="inlineStr">
        <is>
          <t>Listed twice in your request</t>
        </is>
      </c>
    </row>
    <row r="23">
      <c r="A23" s="4" t="n">
        <v>19</v>
      </c>
      <c r="B23" s="5" t="inlineStr">
        <is>
          <t>SWIFB13-C17</t>
        </is>
      </c>
      <c r="C23" s="5" t="inlineStr">
        <is>
          <t>Stainless steel swivelling hose tail</t>
        </is>
      </c>
      <c r="D23" s="6" t="n">
        <v>1</v>
      </c>
      <c r="E23" s="7" t="n"/>
      <c r="F23" s="8">
        <f>D23*E23</f>
        <v/>
      </c>
      <c r="G23" s="9" t="inlineStr"/>
    </row>
    <row r="24">
      <c r="A24" s="4" t="n">
        <v>20</v>
      </c>
      <c r="B24" s="5" t="inlineStr">
        <is>
          <t>SWIFB19-C24</t>
        </is>
      </c>
      <c r="C24" s="5" t="inlineStr">
        <is>
          <t>Stainless steel swivelling hose tail</t>
        </is>
      </c>
      <c r="D24" s="6" t="n">
        <v>1</v>
      </c>
      <c r="E24" s="7" t="n"/>
      <c r="F24" s="8">
        <f>D24*E24</f>
        <v/>
      </c>
      <c r="G24" s="9" t="inlineStr"/>
    </row>
    <row r="25">
      <c r="A25" s="4" t="n">
        <v>21</v>
      </c>
      <c r="B25" s="5" t="inlineStr">
        <is>
          <t>SWIFB19-C24-34</t>
        </is>
      </c>
      <c r="C25" s="5" t="inlineStr">
        <is>
          <t>Stainless steel swivelling hose tail</t>
        </is>
      </c>
      <c r="D25" s="6" t="n">
        <v>1</v>
      </c>
      <c r="E25" s="7" t="n"/>
      <c r="F25" s="8">
        <f>D25*E25</f>
        <v/>
      </c>
      <c r="G25" s="9" t="inlineStr"/>
    </row>
    <row r="27">
      <c r="E27" s="11" t="inlineStr">
        <is>
          <t>Items (count)</t>
        </is>
      </c>
      <c r="F27" s="12">
        <f>COUNTA(B5:B25)</f>
        <v/>
      </c>
    </row>
    <row r="28">
      <c r="E28" s="11" t="inlineStr">
        <is>
          <t>Total qty</t>
        </is>
      </c>
      <c r="F28" s="12">
        <f>SUM(D5:D25)</f>
        <v/>
      </c>
    </row>
    <row r="29">
      <c r="E29" s="13" t="inlineStr">
        <is>
          <t>Subtotal (EUR)</t>
        </is>
      </c>
      <c r="F29" s="14">
        <f>SUM(F5:F25)</f>
        <v/>
      </c>
    </row>
    <row r="30">
      <c r="E30" s="11" t="inlineStr">
        <is>
          <t>Freight / shipping (EUR)</t>
        </is>
      </c>
      <c r="F30" s="7" t="n"/>
    </row>
    <row r="31">
      <c r="E31" s="13" t="inlineStr">
        <is>
          <t>Total (EUR)</t>
        </is>
      </c>
      <c r="F31" s="14">
        <f>F29+F30</f>
        <v/>
      </c>
    </row>
    <row r="33">
      <c r="E33" s="11" t="inlineStr">
        <is>
          <t>Exchange rate (NZD per 1 EUR)</t>
        </is>
      </c>
      <c r="F33" s="15" t="n"/>
    </row>
    <row r="34">
      <c r="E34" s="13" t="inlineStr">
        <is>
          <t>Total (NZD, before GST/duty)</t>
        </is>
      </c>
      <c r="F34" s="16">
        <f>F31*F33</f>
        <v/>
      </c>
    </row>
    <row r="35">
      <c r="E35" s="11" t="inlineStr">
        <is>
          <t>NZ GST rate on import</t>
        </is>
      </c>
      <c r="F35" s="17" t="n">
        <v>0.15</v>
      </c>
    </row>
    <row r="36">
      <c r="E36" s="11" t="inlineStr">
        <is>
          <t>GST (NZD)</t>
        </is>
      </c>
      <c r="F36" s="18">
        <f>F34*F35</f>
        <v/>
      </c>
    </row>
    <row r="37">
      <c r="E37" s="13" t="inlineStr">
        <is>
          <t>Estimated landed total (NZD incl GST)</t>
        </is>
      </c>
      <c r="F37" s="19">
        <f>F34+F36</f>
        <v/>
      </c>
    </row>
    <row r="39">
      <c r="A39" s="20" t="inlineStr">
        <is>
          <t>Notes</t>
        </is>
      </c>
    </row>
    <row r="40">
      <c r="A40" s="21" t="inlineStr">
        <is>
          <t>- Source: product descriptions from akbo.nl product listings (AKBO Handelsmij B.V.). Prices need to be taken from your AKBO price list / dealer login.</t>
        </is>
      </c>
    </row>
    <row r="41">
      <c r="A41" s="21" t="inlineStr">
        <is>
          <t>- TWRWR02M appears twice in the original list, so it is included twice (qty 1 each). Delete one row if that was unintended.</t>
        </is>
      </c>
    </row>
    <row r="42">
      <c r="A42" s="21" t="inlineStr">
        <is>
          <t>- WRWR02XL does not match AKBO's naming; it is probably TWRWR02XL (Twister model XL). Confirm before ordering.</t>
        </is>
      </c>
    </row>
    <row r="43">
      <c r="A43" s="21" t="inlineStr">
        <is>
          <t>- Customs duty, import fees and brokerage are not included.</t>
        </is>
      </c>
    </row>
  </sheetData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2026-10-01T08:47:08Z</dcterms:created>
  <dcterms:modified xsi:type="dcterms:W3CDTF">2026-10-01T08:47:08Z</dcterms:modified>
</cp:coreProperties>
</file>