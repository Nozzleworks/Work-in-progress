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BO Estimate" sheetId="1" state="visible" r:id="rId1"/>
    <sheet name="Pric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€#,##0.00"/>
    <numFmt numFmtId="165" formatCode="€#,##0.00;(€#,##0.00);&quot;-&quot;"/>
    <numFmt numFmtId="166" formatCode="0.0000"/>
    <numFmt numFmtId="167" formatCode="&quot;NZ$&quot;#,##0.00;(&quot;NZ$&quot;#,##0.00);&quot;-&quot;"/>
  </numFmts>
  <fonts count="10">
    <font>
      <name val="Calibri"/>
      <family val="2"/>
      <color theme="1"/>
      <sz val="11"/>
      <scheme val="minor"/>
    </font>
    <font>
      <name val="Arial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</font>
    <font>
      <name val="Arial"/>
      <color rgb="000000FF"/>
    </font>
    <font>
      <name val="Arial"/>
      <color rgb="00008000"/>
    </font>
    <font>
      <name val="Arial"/>
      <i val="1"/>
      <color rgb="00C00000"/>
    </font>
    <font>
      <name val="Arial"/>
      <b val="1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165" fontId="6" fillId="0" borderId="1" applyAlignment="1" pivotButton="0" quotePrefix="0" xfId="0">
      <alignment vertical="top"/>
    </xf>
    <xf numFmtId="165" fontId="1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right"/>
    </xf>
    <xf numFmtId="1" fontId="1" fillId="0" borderId="1" pivotButton="0" quotePrefix="0" xfId="0"/>
    <xf numFmtId="0" fontId="8" fillId="0" borderId="0" applyAlignment="1" pivotButton="0" quotePrefix="0" xfId="0">
      <alignment horizontal="right"/>
    </xf>
    <xf numFmtId="165" fontId="8" fillId="0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8" fillId="0" borderId="1" pivotButton="0" quotePrefix="0" xfId="0"/>
    <xf numFmtId="9" fontId="5" fillId="3" borderId="1" pivotButton="0" quotePrefix="0" xfId="0"/>
    <xf numFmtId="167" fontId="1" fillId="0" borderId="1" pivotButton="0" quotePrefix="0" xfId="0"/>
    <xf numFmtId="167" fontId="8" fillId="4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Estimate</author>
  </authors>
  <commentList>
    <comment ref="G30" authorId="0" shapeId="0">
      <text>
        <t>Enter AKBO's freight quote to NZ, if known.</t>
      </text>
    </comment>
    <comment ref="G33" authorId="0" shapeId="0">
      <text>
        <t>Enter the current EUR to NZD rate (e.g. from your bank on the day of purchase).</t>
      </text>
    </comment>
    <comment ref="G35" authorId="0" shapeId="0">
      <text>
        <t>NZ GST 15% charged on import (on value + freight). Set to 0% to exclude.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55" customWidth="1" min="4" max="4"/>
    <col width="6" customWidth="1" min="5" max="5"/>
    <col width="20" customWidth="1" min="6" max="6"/>
    <col width="18" customWidth="1" min="7" max="7"/>
    <col width="40" customWidth="1" min="8" max="8"/>
  </cols>
  <sheetData>
    <row r="1">
      <c r="A1" s="1" t="inlineStr">
        <is>
          <t>AKBO Purchase - Cost Estimate</t>
        </is>
      </c>
    </row>
    <row r="2">
      <c r="A2" s="2" t="inlineStr">
        <is>
          <t>Unit prices are looked up from the AKBO price list valid from 15-08-2026 ('Price List' tab), &lt; 20 pcs tier. Blue text / yellow cells are inputs.</t>
        </is>
      </c>
    </row>
    <row r="4" ht="30" customHeight="1">
      <c r="A4" s="3" t="inlineStr">
        <is>
          <t>#</t>
        </is>
      </c>
      <c r="B4" s="3" t="inlineStr">
        <is>
          <t>Requested Code</t>
        </is>
      </c>
      <c r="C4" s="3" t="inlineStr">
        <is>
          <t>Price List Code</t>
        </is>
      </c>
      <c r="D4" s="3" t="inlineStr">
        <is>
          <t>Description (from price list)</t>
        </is>
      </c>
      <c r="E4" s="3" t="inlineStr">
        <is>
          <t>Qty</t>
        </is>
      </c>
      <c r="F4" s="3" t="inlineStr">
        <is>
          <t>Unit Price (EUR, &lt; 20 pcs)</t>
        </is>
      </c>
      <c r="G4" s="3" t="inlineStr">
        <is>
          <t>Line Total (EUR)</t>
        </is>
      </c>
      <c r="H4" s="3" t="inlineStr">
        <is>
          <t>Notes</t>
        </is>
      </c>
    </row>
    <row r="5">
      <c r="A5" s="4" t="n">
        <v>1</v>
      </c>
      <c r="B5" s="5" t="inlineStr">
        <is>
          <t>AKRSV01-B</t>
        </is>
      </c>
      <c r="C5" s="6" t="inlineStr">
        <is>
          <t>AKRSV01-B</t>
        </is>
      </c>
      <c r="D5" s="7">
        <f>IFERROR(TRIM(CLEAN(INDEX('Price List'!$B$1:$B$259,MATCH(C5,'Price List'!$A$1:$A$259,0)))),"NOT IN PRICE LIST")</f>
        <v/>
      </c>
      <c r="E5" s="8" t="n">
        <v>1</v>
      </c>
      <c r="F5" s="9">
        <f>IFERROR(INDEX('Price List'!$C$1:$C$259,MATCH(C5,'Price List'!$A$1:$A$259,0)),0)</f>
        <v/>
      </c>
      <c r="G5" s="10">
        <f>E5*F5</f>
        <v/>
      </c>
      <c r="H5" s="11" t="inlineStr"/>
    </row>
    <row r="6">
      <c r="A6" s="4" t="n">
        <v>2</v>
      </c>
      <c r="B6" s="5" t="inlineStr">
        <is>
          <t>AKRSHHL1-BL</t>
        </is>
      </c>
      <c r="C6" s="6" t="inlineStr">
        <is>
          <t>AKRSHHL1-BL</t>
        </is>
      </c>
      <c r="D6" s="7">
        <f>IFERROR(TRIM(CLEAN(INDEX('Price List'!$B$1:$B$259,MATCH(C6,'Price List'!$A$1:$A$259,0)))),"NOT IN PRICE LIST")</f>
        <v/>
      </c>
      <c r="E6" s="8" t="n">
        <v>1</v>
      </c>
      <c r="F6" s="9">
        <f>IFERROR(INDEX('Price List'!$C$1:$C$259,MATCH(C6,'Price List'!$A$1:$A$259,0)),0)</f>
        <v/>
      </c>
      <c r="G6" s="10">
        <f>E6*F6</f>
        <v/>
      </c>
      <c r="H6" s="11" t="inlineStr"/>
    </row>
    <row r="7">
      <c r="A7" s="4" t="n">
        <v>3</v>
      </c>
      <c r="B7" s="5" t="inlineStr">
        <is>
          <t>AKRS001-B</t>
        </is>
      </c>
      <c r="C7" s="6" t="inlineStr">
        <is>
          <t>AKR001-B</t>
        </is>
      </c>
      <c r="D7" s="7">
        <f>IFERROR(TRIM(CLEAN(INDEX('Price List'!$B$1:$B$259,MATCH(C7,'Price List'!$A$1:$A$259,0)))),"NOT IN PRICE LIST")</f>
        <v/>
      </c>
      <c r="E7" s="8" t="n">
        <v>1</v>
      </c>
      <c r="F7" s="9">
        <f>IFERROR(INDEX('Price List'!$C$1:$C$259,MATCH(C7,'Price List'!$A$1:$A$259,0)),0)</f>
        <v/>
      </c>
      <c r="G7" s="10">
        <f>E7*F7</f>
        <v/>
      </c>
      <c r="H7" s="11" t="inlineStr">
        <is>
          <t>Not in price list; using AKR001-B (st. st. shower head, blue)</t>
        </is>
      </c>
    </row>
    <row r="8">
      <c r="A8" s="4" t="n">
        <v>4</v>
      </c>
      <c r="B8" s="5" t="inlineStr">
        <is>
          <t>AKRSHHL4-BL</t>
        </is>
      </c>
      <c r="C8" s="6" t="inlineStr">
        <is>
          <t>AKRSHH4-BL</t>
        </is>
      </c>
      <c r="D8" s="7">
        <f>IFERROR(TRIM(CLEAN(INDEX('Price List'!$B$1:$B$259,MATCH(C8,'Price List'!$A$1:$A$259,0)))),"NOT IN PRICE LIST")</f>
        <v/>
      </c>
      <c r="E8" s="8" t="n">
        <v>1</v>
      </c>
      <c r="F8" s="9">
        <f>IFERROR(INDEX('Price List'!$C$1:$C$259,MATCH(C8,'Price List'!$A$1:$A$259,0)),0)</f>
        <v/>
      </c>
      <c r="G8" s="10">
        <f>E8*F8</f>
        <v/>
      </c>
      <c r="H8" s="11" t="inlineStr">
        <is>
          <t>Not in price list; using AKRSHH4-BL (st. st. spray head, black)</t>
        </is>
      </c>
    </row>
    <row r="9">
      <c r="A9" s="4" t="n">
        <v>5</v>
      </c>
      <c r="B9" s="5" t="inlineStr">
        <is>
          <t>TWRWR02M</t>
        </is>
      </c>
      <c r="C9" s="6" t="inlineStr">
        <is>
          <t>TWRWR02M</t>
        </is>
      </c>
      <c r="D9" s="7">
        <f>IFERROR(TRIM(CLEAN(INDEX('Price List'!$B$1:$B$259,MATCH(C9,'Price List'!$A$1:$A$259,0)))),"NOT IN PRICE LIST")</f>
        <v/>
      </c>
      <c r="E9" s="8" t="n">
        <v>1</v>
      </c>
      <c r="F9" s="9">
        <f>IFERROR(INDEX('Price List'!$C$1:$C$259,MATCH(C9,'Price List'!$A$1:$A$259,0)),0)</f>
        <v/>
      </c>
      <c r="G9" s="10">
        <f>E9*F9</f>
        <v/>
      </c>
      <c r="H9" s="11" t="inlineStr">
        <is>
          <t>Listed twice in your request</t>
        </is>
      </c>
    </row>
    <row r="10">
      <c r="A10" s="4" t="n">
        <v>6</v>
      </c>
      <c r="B10" s="5" t="inlineStr">
        <is>
          <t>BMFTP11-B-PRIN</t>
        </is>
      </c>
      <c r="C10" s="6" t="inlineStr">
        <is>
          <t>BMFTP11-B-PRIN</t>
        </is>
      </c>
      <c r="D10" s="7">
        <f>IFERROR(TRIM(CLEAN(INDEX('Price List'!$B$1:$B$259,MATCH(C10,'Price List'!$A$1:$A$259,0)))),"NOT IN PRICE LIST")</f>
        <v/>
      </c>
      <c r="E10" s="8" t="n">
        <v>1</v>
      </c>
      <c r="F10" s="9">
        <f>IFERROR(INDEX('Price List'!$C$1:$C$259,MATCH(C10,'Price List'!$A$1:$A$259,0)),0)</f>
        <v/>
      </c>
      <c r="G10" s="10">
        <f>E10*F10</f>
        <v/>
      </c>
      <c r="H10" s="11" t="inlineStr"/>
    </row>
    <row r="11">
      <c r="A11" s="4" t="n">
        <v>7</v>
      </c>
      <c r="B11" s="5" t="inlineStr">
        <is>
          <t>AKMN001-B</t>
        </is>
      </c>
      <c r="C11" s="6" t="inlineStr">
        <is>
          <t>AKMN001-B</t>
        </is>
      </c>
      <c r="D11" s="7">
        <f>IFERROR(TRIM(CLEAN(INDEX('Price List'!$B$1:$B$259,MATCH(C11,'Price List'!$A$1:$A$259,0)))),"NOT IN PRICE LIST")</f>
        <v/>
      </c>
      <c r="E11" s="8" t="n">
        <v>1</v>
      </c>
      <c r="F11" s="9">
        <f>IFERROR(INDEX('Price List'!$C$1:$C$259,MATCH(C11,'Price List'!$A$1:$A$259,0)),0)</f>
        <v/>
      </c>
      <c r="G11" s="10">
        <f>E11*F11</f>
        <v/>
      </c>
      <c r="H11" s="11" t="inlineStr"/>
    </row>
    <row r="12">
      <c r="A12" s="4" t="n">
        <v>8</v>
      </c>
      <c r="B12" s="5" t="inlineStr">
        <is>
          <t>AKNN001-B</t>
        </is>
      </c>
      <c r="C12" s="6" t="inlineStr">
        <is>
          <t>AKNN001-B</t>
        </is>
      </c>
      <c r="D12" s="7">
        <f>IFERROR(TRIM(CLEAN(INDEX('Price List'!$B$1:$B$259,MATCH(C12,'Price List'!$A$1:$A$259,0)))),"NOT IN PRICE LIST")</f>
        <v/>
      </c>
      <c r="E12" s="8" t="n">
        <v>1</v>
      </c>
      <c r="F12" s="9">
        <f>IFERROR(INDEX('Price List'!$C$1:$C$259,MATCH(C12,'Price List'!$A$1:$A$259,0)),0)</f>
        <v/>
      </c>
      <c r="G12" s="10">
        <f>E12*F12</f>
        <v/>
      </c>
      <c r="H12" s="11" t="inlineStr"/>
    </row>
    <row r="13">
      <c r="A13" s="4" t="n">
        <v>9</v>
      </c>
      <c r="B13" s="5" t="inlineStr">
        <is>
          <t>BABTN01-B</t>
        </is>
      </c>
      <c r="C13" s="6" t="inlineStr">
        <is>
          <t>BABTN01-B</t>
        </is>
      </c>
      <c r="D13" s="7">
        <f>IFERROR(TRIM(CLEAN(INDEX('Price List'!$B$1:$B$259,MATCH(C13,'Price List'!$A$1:$A$259,0)))),"NOT IN PRICE LIST")</f>
        <v/>
      </c>
      <c r="E13" s="8" t="n">
        <v>1</v>
      </c>
      <c r="F13" s="9">
        <f>IFERROR(INDEX('Price List'!$C$1:$C$259,MATCH(C13,'Price List'!$A$1:$A$259,0)),0)</f>
        <v/>
      </c>
      <c r="G13" s="10">
        <f>E13*F13</f>
        <v/>
      </c>
      <c r="H13" s="11" t="inlineStr"/>
    </row>
    <row r="14">
      <c r="A14" s="4" t="n">
        <v>10</v>
      </c>
      <c r="B14" s="5" t="inlineStr">
        <is>
          <t>AKRHP01-R</t>
        </is>
      </c>
      <c r="C14" s="6" t="inlineStr">
        <is>
          <t>AKRHP01-R</t>
        </is>
      </c>
      <c r="D14" s="7">
        <f>IFERROR(TRIM(CLEAN(INDEX('Price List'!$B$1:$B$259,MATCH(C14,'Price List'!$A$1:$A$259,0)))),"NOT IN PRICE LIST")</f>
        <v/>
      </c>
      <c r="E14" s="8" t="n">
        <v>1</v>
      </c>
      <c r="F14" s="9">
        <f>IFERROR(INDEX('Price List'!$C$1:$C$259,MATCH(C14,'Price List'!$A$1:$A$259,0)),0)</f>
        <v/>
      </c>
      <c r="G14" s="10">
        <f>E14*F14</f>
        <v/>
      </c>
      <c r="H14" s="11" t="inlineStr"/>
    </row>
    <row r="15">
      <c r="A15" s="4" t="n">
        <v>11</v>
      </c>
      <c r="B15" s="5" t="inlineStr">
        <is>
          <t>AKKS003-B</t>
        </is>
      </c>
      <c r="C15" s="6" t="inlineStr">
        <is>
          <t>AKKS003-B</t>
        </is>
      </c>
      <c r="D15" s="7">
        <f>IFERROR(TRIM(CLEAN(INDEX('Price List'!$B$1:$B$259,MATCH(C15,'Price List'!$A$1:$A$259,0)))),"NOT IN PRICE LIST")</f>
        <v/>
      </c>
      <c r="E15" s="8" t="n">
        <v>1</v>
      </c>
      <c r="F15" s="9">
        <f>IFERROR(INDEX('Price List'!$C$1:$C$259,MATCH(C15,'Price List'!$A$1:$A$259,0)),0)</f>
        <v/>
      </c>
      <c r="G15" s="10">
        <f>E15*F15</f>
        <v/>
      </c>
      <c r="H15" s="11" t="inlineStr"/>
    </row>
    <row r="16">
      <c r="A16" s="4" t="n">
        <v>12</v>
      </c>
      <c r="B16" s="5" t="inlineStr">
        <is>
          <t>AKAWLU1-B</t>
        </is>
      </c>
      <c r="C16" s="6" t="inlineStr">
        <is>
          <t>AKAWLU1-B</t>
        </is>
      </c>
      <c r="D16" s="7">
        <f>IFERROR(TRIM(CLEAN(INDEX('Price List'!$B$1:$B$259,MATCH(C16,'Price List'!$A$1:$A$259,0)))),"NOT IN PRICE LIST")</f>
        <v/>
      </c>
      <c r="E16" s="8" t="n">
        <v>1</v>
      </c>
      <c r="F16" s="9">
        <f>IFERROR(INDEX('Price List'!$C$1:$C$259,MATCH(C16,'Price List'!$A$1:$A$259,0)),0)</f>
        <v/>
      </c>
      <c r="G16" s="10">
        <f>E16*F16</f>
        <v/>
      </c>
      <c r="H16" s="11" t="inlineStr"/>
    </row>
    <row r="17">
      <c r="A17" s="4" t="n">
        <v>13</v>
      </c>
      <c r="B17" s="5" t="inlineStr">
        <is>
          <t>AGIL572</t>
        </is>
      </c>
      <c r="C17" s="6" t="inlineStr">
        <is>
          <t>AGIL572</t>
        </is>
      </c>
      <c r="D17" s="7">
        <f>IFERROR(TRIM(CLEAN(INDEX('Price List'!$B$1:$B$259,MATCH(C17,'Price List'!$A$1:$A$259,0)))),"NOT IN PRICE LIST")</f>
        <v/>
      </c>
      <c r="E17" s="8" t="n">
        <v>1</v>
      </c>
      <c r="F17" s="9">
        <f>IFERROR(INDEX('Price List'!$C$1:$C$259,MATCH(C17,'Price List'!$A$1:$A$259,0)),0)</f>
        <v/>
      </c>
      <c r="G17" s="10">
        <f>E17*F17</f>
        <v/>
      </c>
      <c r="H17" s="11" t="inlineStr"/>
    </row>
    <row r="18">
      <c r="A18" s="4" t="n">
        <v>14</v>
      </c>
      <c r="B18" s="5" t="inlineStr">
        <is>
          <t>BABTLF1-B-V</t>
        </is>
      </c>
      <c r="C18" s="6" t="inlineStr">
        <is>
          <t>BABTLF1-BL</t>
        </is>
      </c>
      <c r="D18" s="7">
        <f>IFERROR(TRIM(CLEAN(INDEX('Price List'!$B$1:$B$259,MATCH(C18,'Price List'!$A$1:$A$259,0)))),"NOT IN PRICE LIST")</f>
        <v/>
      </c>
      <c r="E18" s="8" t="n">
        <v>1</v>
      </c>
      <c r="F18" s="9">
        <f>IFERROR(INDEX('Price List'!$C$1:$C$259,MATCH(C18,'Price List'!$A$1:$A$259,0)),0)</f>
        <v/>
      </c>
      <c r="G18" s="10">
        <f>E18*F18</f>
        <v/>
      </c>
      <c r="H18" s="11" t="inlineStr">
        <is>
          <t>Not in price list; closest is BABTLF1-BL (black) - confirm blue/Viton price with AKBO</t>
        </is>
      </c>
    </row>
    <row r="19">
      <c r="A19" s="4" t="n">
        <v>15</v>
      </c>
      <c r="B19" s="5" t="inlineStr">
        <is>
          <t>AKWMM01</t>
        </is>
      </c>
      <c r="C19" s="6" t="inlineStr">
        <is>
          <t>AKWMM01</t>
        </is>
      </c>
      <c r="D19" s="7">
        <f>IFERROR(TRIM(CLEAN(INDEX('Price List'!$B$1:$B$259,MATCH(C19,'Price List'!$A$1:$A$259,0)))),"NOT IN PRICE LIST")</f>
        <v/>
      </c>
      <c r="E19" s="8" t="n">
        <v>1</v>
      </c>
      <c r="F19" s="9">
        <f>IFERROR(INDEX('Price List'!$C$1:$C$259,MATCH(C19,'Price List'!$A$1:$A$259,0)),0)</f>
        <v/>
      </c>
      <c r="G19" s="10">
        <f>E19*F19</f>
        <v/>
      </c>
      <c r="H19" s="11" t="inlineStr"/>
    </row>
    <row r="20">
      <c r="A20" s="4" t="n">
        <v>16</v>
      </c>
      <c r="B20" s="5" t="inlineStr">
        <is>
          <t>WRWR02XL</t>
        </is>
      </c>
      <c r="C20" s="6" t="inlineStr">
        <is>
          <t>TWRWR02XL</t>
        </is>
      </c>
      <c r="D20" s="7">
        <f>IFERROR(TRIM(CLEAN(INDEX('Price List'!$B$1:$B$259,MATCH(C20,'Price List'!$A$1:$A$259,0)))),"NOT IN PRICE LIST")</f>
        <v/>
      </c>
      <c r="E20" s="8" t="n">
        <v>1</v>
      </c>
      <c r="F20" s="9">
        <f>IFERROR(INDEX('Price List'!$C$1:$C$259,MATCH(C20,'Price List'!$A$1:$A$259,0)),0)</f>
        <v/>
      </c>
      <c r="G20" s="10">
        <f>E20*F20</f>
        <v/>
      </c>
      <c r="H20" s="11" t="inlineStr">
        <is>
          <t>Assumed typo for TWRWR02XL (Twister XL)</t>
        </is>
      </c>
    </row>
    <row r="21">
      <c r="A21" s="4" t="n">
        <v>17</v>
      </c>
      <c r="B21" s="5" t="inlineStr">
        <is>
          <t>TWRWR02L</t>
        </is>
      </c>
      <c r="C21" s="6" t="inlineStr">
        <is>
          <t>TWRWR02L</t>
        </is>
      </c>
      <c r="D21" s="7">
        <f>IFERROR(TRIM(CLEAN(INDEX('Price List'!$B$1:$B$259,MATCH(C21,'Price List'!$A$1:$A$259,0)))),"NOT IN PRICE LIST")</f>
        <v/>
      </c>
      <c r="E21" s="8" t="n">
        <v>1</v>
      </c>
      <c r="F21" s="9">
        <f>IFERROR(INDEX('Price List'!$C$1:$C$259,MATCH(C21,'Price List'!$A$1:$A$259,0)),0)</f>
        <v/>
      </c>
      <c r="G21" s="10">
        <f>E21*F21</f>
        <v/>
      </c>
      <c r="H21" s="11" t="inlineStr"/>
    </row>
    <row r="22">
      <c r="A22" s="4" t="n">
        <v>18</v>
      </c>
      <c r="B22" s="5" t="inlineStr">
        <is>
          <t>TWRWR02M</t>
        </is>
      </c>
      <c r="C22" s="6" t="inlineStr">
        <is>
          <t>TWRWR02M</t>
        </is>
      </c>
      <c r="D22" s="7">
        <f>IFERROR(TRIM(CLEAN(INDEX('Price List'!$B$1:$B$259,MATCH(C22,'Price List'!$A$1:$A$259,0)))),"NOT IN PRICE LIST")</f>
        <v/>
      </c>
      <c r="E22" s="8" t="n">
        <v>1</v>
      </c>
      <c r="F22" s="9">
        <f>IFERROR(INDEX('Price List'!$C$1:$C$259,MATCH(C22,'Price List'!$A$1:$A$259,0)),0)</f>
        <v/>
      </c>
      <c r="G22" s="10">
        <f>E22*F22</f>
        <v/>
      </c>
      <c r="H22" s="11" t="inlineStr">
        <is>
          <t>Listed twice in your request</t>
        </is>
      </c>
    </row>
    <row r="23">
      <c r="A23" s="4" t="n">
        <v>19</v>
      </c>
      <c r="B23" s="5" t="inlineStr">
        <is>
          <t>SWIFB13-C17</t>
        </is>
      </c>
      <c r="C23" s="6" t="inlineStr">
        <is>
          <t>SWIFB13-C17</t>
        </is>
      </c>
      <c r="D23" s="7">
        <f>IFERROR(TRIM(CLEAN(INDEX('Price List'!$B$1:$B$259,MATCH(C23,'Price List'!$A$1:$A$259,0)))),"NOT IN PRICE LIST")</f>
        <v/>
      </c>
      <c r="E23" s="8" t="n">
        <v>1</v>
      </c>
      <c r="F23" s="9">
        <f>IFERROR(INDEX('Price List'!$C$1:$C$259,MATCH(C23,'Price List'!$A$1:$A$259,0)),0)</f>
        <v/>
      </c>
      <c r="G23" s="10">
        <f>E23*F23</f>
        <v/>
      </c>
      <c r="H23" s="11" t="inlineStr"/>
    </row>
    <row r="24">
      <c r="A24" s="4" t="n">
        <v>20</v>
      </c>
      <c r="B24" s="5" t="inlineStr">
        <is>
          <t>SWIFB19-C24</t>
        </is>
      </c>
      <c r="C24" s="6" t="inlineStr">
        <is>
          <t>SWIFB19-C24</t>
        </is>
      </c>
      <c r="D24" s="7">
        <f>IFERROR(TRIM(CLEAN(INDEX('Price List'!$B$1:$B$259,MATCH(C24,'Price List'!$A$1:$A$259,0)))),"NOT IN PRICE LIST")</f>
        <v/>
      </c>
      <c r="E24" s="8" t="n">
        <v>1</v>
      </c>
      <c r="F24" s="9">
        <f>IFERROR(INDEX('Price List'!$C$1:$C$259,MATCH(C24,'Price List'!$A$1:$A$259,0)),0)</f>
        <v/>
      </c>
      <c r="G24" s="10">
        <f>E24*F24</f>
        <v/>
      </c>
      <c r="H24" s="11" t="inlineStr"/>
    </row>
    <row r="25">
      <c r="A25" s="4" t="n">
        <v>21</v>
      </c>
      <c r="B25" s="5" t="inlineStr">
        <is>
          <t>SWIFB19-C24-34</t>
        </is>
      </c>
      <c r="C25" s="6" t="inlineStr">
        <is>
          <t>SWIFB19-C24-34</t>
        </is>
      </c>
      <c r="D25" s="7">
        <f>IFERROR(TRIM(CLEAN(INDEX('Price List'!$B$1:$B$259,MATCH(C25,'Price List'!$A$1:$A$259,0)))),"NOT IN PRICE LIST")</f>
        <v/>
      </c>
      <c r="E25" s="8" t="n">
        <v>1</v>
      </c>
      <c r="F25" s="9">
        <f>IFERROR(INDEX('Price List'!$C$1:$C$259,MATCH(C25,'Price List'!$A$1:$A$259,0)),0)</f>
        <v/>
      </c>
      <c r="G25" s="10">
        <f>E25*F25</f>
        <v/>
      </c>
      <c r="H25" s="11" t="inlineStr"/>
    </row>
    <row r="27">
      <c r="F27" s="12" t="inlineStr">
        <is>
          <t>Lines</t>
        </is>
      </c>
      <c r="G27" s="13">
        <f>COUNTA(B5:B25)</f>
        <v/>
      </c>
    </row>
    <row r="28">
      <c r="F28" s="12" t="inlineStr">
        <is>
          <t>Total qty</t>
        </is>
      </c>
      <c r="G28" s="13">
        <f>SUM(E5:E25)</f>
        <v/>
      </c>
    </row>
    <row r="29">
      <c r="F29" s="14" t="inlineStr">
        <is>
          <t>Subtotal (EUR, ex VAT)</t>
        </is>
      </c>
      <c r="G29" s="15">
        <f>SUM(G5:G25)</f>
        <v/>
      </c>
    </row>
    <row r="30">
      <c r="F30" s="12" t="inlineStr">
        <is>
          <t>Freight / shipping (EUR)</t>
        </is>
      </c>
      <c r="G30" s="16" t="n"/>
    </row>
    <row r="31">
      <c r="F31" s="14" t="inlineStr">
        <is>
          <t>Total (EUR)</t>
        </is>
      </c>
      <c r="G31" s="15">
        <f>G29+G30</f>
        <v/>
      </c>
    </row>
    <row r="33">
      <c r="F33" s="12" t="inlineStr">
        <is>
          <t>Exchange rate (NZD per 1 EUR)</t>
        </is>
      </c>
      <c r="G33" s="17" t="n"/>
    </row>
    <row r="34">
      <c r="F34" s="14" t="inlineStr">
        <is>
          <t>Total (NZD, before GST/duty)</t>
        </is>
      </c>
      <c r="G34" s="18">
        <f>G31*G33</f>
        <v/>
      </c>
    </row>
    <row r="35">
      <c r="F35" s="12" t="inlineStr">
        <is>
          <t>NZ GST rate on import</t>
        </is>
      </c>
      <c r="G35" s="19" t="n">
        <v>0.15</v>
      </c>
    </row>
    <row r="36">
      <c r="F36" s="12" t="inlineStr">
        <is>
          <t>GST (NZD)</t>
        </is>
      </c>
      <c r="G36" s="20">
        <f>G34*G35</f>
        <v/>
      </c>
    </row>
    <row r="37">
      <c r="F37" s="14" t="inlineStr">
        <is>
          <t>Estimated landed total (NZD incl GST)</t>
        </is>
      </c>
      <c r="G37" s="21">
        <f>G34+G36</f>
        <v/>
      </c>
    </row>
    <row r="39">
      <c r="A39" s="22" t="inlineStr">
        <is>
          <t>Notes</t>
        </is>
      </c>
    </row>
    <row r="40">
      <c r="A40" s="23" t="inlineStr">
        <is>
          <t>- Source: AKBO price list for Nozzleworks NZL (washdown guns), valid from 15-08-2026. Prices in EUR per piece, &lt; 20 pcs tier (qty 1 each).</t>
        </is>
      </c>
    </row>
    <row r="41">
      <c r="A41" s="23" t="inlineStr">
        <is>
          <t>- Green prices are looked up from the 'Price List' tab by Price List Code. Change a code in column C to re-price that line.</t>
        </is>
      </c>
    </row>
    <row r="42">
      <c r="A42" s="23" t="inlineStr">
        <is>
          <t>- Three requested codes are not in the price list and use the closest match (see Notes column). WRWR02XL is treated as TWRWR02XL.</t>
        </is>
      </c>
    </row>
    <row r="43">
      <c r="A43" s="23" t="inlineStr">
        <is>
          <t>- TWRWR02M appears twice in the original list, so it is included twice. Delete one row if that was unintended.</t>
        </is>
      </c>
    </row>
    <row r="44">
      <c r="A44" s="23" t="inlineStr">
        <is>
          <t>- Customs duty, import fees and brokerage are not included.</t>
        </is>
      </c>
    </row>
  </sheetData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s="24" t="inlineStr">
        <is>
          <t>PRICE LIST, VALID FROM 15-08-2026</t>
        </is>
      </c>
    </row>
    <row r="2">
      <c r="A2" s="24" t="inlineStr">
        <is>
          <t>Due to rounding differences, some prices in this price list may differ slightly (typically ±€0.01) from the prices invoiced from our system.</t>
        </is>
      </c>
    </row>
    <row r="5">
      <c r="A5" s="24" t="inlineStr">
        <is>
          <t>Heavy duty spray guns</t>
        </is>
      </c>
    </row>
    <row r="7">
      <c r="A7" s="24" t="inlineStr">
        <is>
          <t>Product code</t>
        </is>
      </c>
      <c r="B7" s="24" t="inlineStr">
        <is>
          <t>Description</t>
        </is>
      </c>
      <c r="C7" s="24" t="inlineStr">
        <is>
          <t>Price p/pc in Euro</t>
        </is>
      </c>
    </row>
    <row r="8">
      <c r="C8" s="24" t="inlineStr">
        <is>
          <t>&lt; 20 pcs</t>
        </is>
      </c>
      <c r="D8" s="24" t="inlineStr">
        <is>
          <t>≥ 20 pcs</t>
        </is>
      </c>
      <c r="E8" s="24" t="inlineStr">
        <is>
          <t>≥ 50 pcs</t>
        </is>
      </c>
    </row>
    <row r="9">
      <c r="D9" s="24" t="n">
        <v>0.1</v>
      </c>
      <c r="E9" s="24" t="n">
        <v>0.2</v>
      </c>
    </row>
    <row r="10">
      <c r="A10" s="24" t="inlineStr">
        <is>
          <t>AKNN001-B</t>
        </is>
      </c>
      <c r="B10" s="24" t="inlineStr">
        <is>
          <t>Water gun with glass reinforced PA66 blue body. Stainless shaft with EPDM and VITON O-ring</t>
        </is>
      </c>
      <c r="C10" s="25" t="n">
        <v>29.74</v>
      </c>
      <c r="D10" s="25" t="n">
        <v>26.43</v>
      </c>
    </row>
    <row r="11">
      <c r="A11" s="24" t="inlineStr">
        <is>
          <t>BMFT001-B</t>
        </is>
      </c>
      <c r="B11" s="24" t="inlineStr">
        <is>
          <t>Blue Princess economic brass water gun, blue</t>
        </is>
      </c>
      <c r="C11" s="25" t="n">
        <v>22.47399</v>
      </c>
      <c r="D11" s="25" t="n">
        <v>19.97688</v>
      </c>
    </row>
    <row r="12">
      <c r="A12" s="24" t="inlineStr">
        <is>
          <t>BMFT001-B-PRIN</t>
        </is>
      </c>
      <c r="B12" s="24" t="inlineStr">
        <is>
          <t>Blue Princess economic brass water gun, blue with PRINCESS logo</t>
        </is>
      </c>
      <c r="C12" s="25" t="n">
        <v>22.52052</v>
      </c>
      <c r="D12" s="25" t="n">
        <v>20.01824</v>
      </c>
    </row>
    <row r="13">
      <c r="A13" s="24" t="inlineStr">
        <is>
          <t>BMFTP11-B-PRIN</t>
        </is>
      </c>
      <c r="B13" s="24" t="inlineStr">
        <is>
          <t>Princess economic brass water gun with trigger guard and trigger insulation, blue with PRINCESS logo</t>
        </is>
      </c>
      <c r="C13" s="25" t="n">
        <v>30.38409</v>
      </c>
      <c r="D13" s="25" t="n">
        <v>27.00808</v>
      </c>
    </row>
    <row r="14">
      <c r="A14" s="24" t="inlineStr">
        <is>
          <t>KLMN001-B</t>
        </is>
      </c>
      <c r="B14" s="24" t="inlineStr">
        <is>
          <t>Brass water gun, without trigger insulation, blue</t>
        </is>
      </c>
      <c r="C14" s="25" t="n">
        <v>28.14</v>
      </c>
      <c r="D14" s="25" t="n">
        <v>25.02</v>
      </c>
    </row>
    <row r="15">
      <c r="A15" s="24" t="inlineStr">
        <is>
          <t>KLMN001-R</t>
        </is>
      </c>
      <c r="B15" s="24" t="inlineStr">
        <is>
          <t>Brass water gun without trigger insulation, red</t>
        </is>
      </c>
      <c r="C15" s="25" t="n">
        <v>29.08</v>
      </c>
      <c r="D15" s="25" t="n">
        <v>25.85</v>
      </c>
    </row>
    <row r="16">
      <c r="A16" s="24" t="inlineStr">
        <is>
          <t>KLMN001-G</t>
        </is>
      </c>
      <c r="B16" s="24" t="inlineStr">
        <is>
          <t>Brass water gun, without trigger insulation, green</t>
        </is>
      </c>
      <c r="C16" s="25" t="n">
        <v>29.08</v>
      </c>
      <c r="D16" s="25" t="n">
        <v>25.85</v>
      </c>
    </row>
    <row r="17">
      <c r="A17" s="24" t="inlineStr">
        <is>
          <t>KLMN001-BL</t>
        </is>
      </c>
      <c r="B17" s="24" t="inlineStr">
        <is>
          <t>Brass water gun, without trigger insulation, black</t>
        </is>
      </c>
      <c r="C17" s="25" t="n">
        <v>29.08</v>
      </c>
      <c r="D17" s="25" t="n">
        <v>25.85</v>
      </c>
    </row>
    <row r="18">
      <c r="A18" s="24" t="inlineStr">
        <is>
          <t>KLMN001-Y</t>
        </is>
      </c>
      <c r="B18" s="24" t="inlineStr">
        <is>
          <t>Brass water gun, without trigger insulation, yellow</t>
        </is>
      </c>
      <c r="C18" s="25" t="n">
        <v>29.08</v>
      </c>
      <c r="D18" s="25" t="n">
        <v>25.85</v>
      </c>
    </row>
    <row r="19">
      <c r="A19" s="24" t="inlineStr">
        <is>
          <t>KLMN001-W</t>
        </is>
      </c>
      <c r="B19" s="24" t="inlineStr">
        <is>
          <t>Brass water gun, without trigger insulation, white</t>
        </is>
      </c>
      <c r="C19" s="25" t="n">
        <v>29.08</v>
      </c>
      <c r="D19" s="25" t="n">
        <v>25.85</v>
      </c>
    </row>
    <row r="20"/>
    <row r="21">
      <c r="A21" s="24" t="inlineStr">
        <is>
          <t>AKMN001-B</t>
        </is>
      </c>
      <c r="B21" s="24" t="inlineStr">
        <is>
          <t>Brass water gun, blue</t>
        </is>
      </c>
      <c r="C21" s="25" t="n">
        <v>29.24</v>
      </c>
      <c r="D21" s="25" t="n">
        <v>25.99</v>
      </c>
    </row>
    <row r="22">
      <c r="A22" s="24" t="inlineStr">
        <is>
          <t>AKMN001-R</t>
        </is>
      </c>
      <c r="B22" s="24" t="inlineStr">
        <is>
          <t>Brass water gun, red</t>
        </is>
      </c>
      <c r="C22" s="25" t="n">
        <v>30.17</v>
      </c>
      <c r="D22" s="25" t="n">
        <v>26.82</v>
      </c>
    </row>
    <row r="23">
      <c r="A23" s="24" t="inlineStr">
        <is>
          <t>AKMN001-G</t>
        </is>
      </c>
      <c r="B23" s="24" t="inlineStr">
        <is>
          <t>Brass water gun, green</t>
        </is>
      </c>
      <c r="C23" s="25" t="n">
        <v>30.17</v>
      </c>
      <c r="D23" s="25" t="n">
        <v>26.82</v>
      </c>
    </row>
    <row r="24">
      <c r="A24" s="24" t="inlineStr">
        <is>
          <t>AKMN001-BL</t>
        </is>
      </c>
      <c r="B24" s="24" t="inlineStr">
        <is>
          <t>Brass water gun, black</t>
        </is>
      </c>
      <c r="C24" s="25" t="n">
        <v>30.17</v>
      </c>
      <c r="D24" s="25" t="n">
        <v>26.82</v>
      </c>
    </row>
    <row r="25">
      <c r="A25" s="24" t="inlineStr">
        <is>
          <t>AKMN001-Y</t>
        </is>
      </c>
      <c r="B25" s="24" t="inlineStr">
        <is>
          <t>Brass water gun, yellow</t>
        </is>
      </c>
      <c r="C25" s="25" t="n">
        <v>30.17</v>
      </c>
      <c r="D25" s="25" t="n">
        <v>26.82</v>
      </c>
    </row>
    <row r="26">
      <c r="A26" s="24" t="inlineStr">
        <is>
          <t>AKMN001-W</t>
        </is>
      </c>
      <c r="B26" s="24" t="inlineStr">
        <is>
          <t>Brass water gun, white</t>
        </is>
      </c>
      <c r="C26" s="25" t="n">
        <v>30.17</v>
      </c>
      <c r="D26" s="25" t="n">
        <v>26.82</v>
      </c>
    </row>
    <row r="27">
      <c r="A27" s="24" t="inlineStr">
        <is>
          <t>AKMNP01-B</t>
        </is>
      </c>
      <c r="B27" s="24" t="inlineStr">
        <is>
          <t>Brass water gun with trigger protection, blue</t>
        </is>
      </c>
      <c r="C27" s="24" t="n">
        <v>35</v>
      </c>
      <c r="D27" s="25" t="n">
        <v>31.11</v>
      </c>
    </row>
    <row r="28">
      <c r="A28" s="24" t="inlineStr">
        <is>
          <t>AKMNP01-B-SW12</t>
        </is>
      </c>
      <c r="B28" s="24" t="inlineStr">
        <is>
          <t>Brass water gun, with trigger protection, ball bearing swivel input 1/2"F, blue</t>
        </is>
      </c>
      <c r="C28" s="25" t="n">
        <v>41.94</v>
      </c>
      <c r="D28" s="25" t="n">
        <v>37.28</v>
      </c>
    </row>
    <row r="29">
      <c r="A29" s="24" t="inlineStr">
        <is>
          <t>AKMNP01-B-SW34</t>
        </is>
      </c>
      <c r="B29" s="24" t="inlineStr">
        <is>
          <t>Brass water gun, with trigger protection, ball bearing swivel input 3/4"F, blue</t>
        </is>
      </c>
      <c r="C29" s="25" t="n">
        <v>41.94</v>
      </c>
      <c r="D29" s="25" t="n">
        <v>37.28</v>
      </c>
    </row>
    <row r="30"/>
    <row r="31">
      <c r="A31" s="24" t="inlineStr">
        <is>
          <t>AKMN011-B</t>
        </is>
      </c>
      <c r="B31" s="24" t="inlineStr">
        <is>
          <t>Blue King superior brass water gun without trigger protection, blue</t>
        </is>
      </c>
      <c r="C31" s="25" t="n">
        <v>27.006012</v>
      </c>
      <c r="D31" s="25" t="n">
        <v>24.005344</v>
      </c>
    </row>
    <row r="32">
      <c r="A32" s="24" t="inlineStr">
        <is>
          <t>AKMN011-B-KING</t>
        </is>
      </c>
      <c r="B32" s="24" t="inlineStr">
        <is>
          <t>Blue King superior brass water gun without trigger protection, blue with KING logo</t>
        </is>
      </c>
      <c r="C32" s="25" t="n">
        <v>27.108378</v>
      </c>
      <c r="D32" s="25" t="n">
        <v>24.096336</v>
      </c>
    </row>
    <row r="33">
      <c r="A33" s="24" t="inlineStr">
        <is>
          <t>AKMNP11-B</t>
        </is>
      </c>
      <c r="B33" s="24" t="inlineStr">
        <is>
          <t>Blue King superior brass water gun with trigger protection, blue</t>
        </is>
      </c>
      <c r="C33" s="25" t="n">
        <v>35.288352</v>
      </c>
      <c r="D33" s="25" t="n">
        <v>31.367424</v>
      </c>
    </row>
    <row r="34">
      <c r="A34" s="24" t="inlineStr">
        <is>
          <t>AKMNP11-B-KING</t>
        </is>
      </c>
      <c r="B34" s="24" t="inlineStr">
        <is>
          <t>Blue King superior brass water gun with trigger protection, blue with KING logo</t>
        </is>
      </c>
      <c r="C34" s="25" t="n">
        <v>35.390718</v>
      </c>
      <c r="D34" s="25" t="n">
        <v>31.458416</v>
      </c>
    </row>
    <row r="35"/>
    <row r="36">
      <c r="A36" s="24" t="inlineStr">
        <is>
          <t>AKMB001-BL</t>
        </is>
      </c>
      <c r="B36" s="24" t="inlineStr">
        <is>
          <t>Brass water gun, big flow, black</t>
        </is>
      </c>
      <c r="C36" s="25" t="n">
        <v>36.4485</v>
      </c>
      <c r="D36" s="25" t="n">
        <v>32.81</v>
      </c>
    </row>
    <row r="37">
      <c r="A37" s="24" t="inlineStr">
        <is>
          <t>AKMBP01-BL</t>
        </is>
      </c>
      <c r="B37" s="24" t="inlineStr">
        <is>
          <t>Brass water gun, big flow, with trigger protection, black</t>
        </is>
      </c>
      <c r="C37" s="25" t="n">
        <v>38.88874</v>
      </c>
      <c r="D37" s="24" t="n">
        <v>35</v>
      </c>
    </row>
    <row r="38">
      <c r="A38" s="24" t="inlineStr">
        <is>
          <t>AKRB001-BL</t>
        </is>
      </c>
      <c r="B38" s="24" t="inlineStr">
        <is>
          <t>Stainless steel water gun, high flow, black</t>
        </is>
      </c>
      <c r="C38" s="25" t="n">
        <v>84.8</v>
      </c>
      <c r="D38" s="25" t="n">
        <v>75.38</v>
      </c>
    </row>
    <row r="39"/>
    <row r="40">
      <c r="A40" s="24" t="inlineStr">
        <is>
          <t>AKCN001-B</t>
        </is>
      </c>
      <c r="B40" s="24" t="inlineStr">
        <is>
          <t>Chrome plated brass water gun, blue</t>
        </is>
      </c>
      <c r="C40" s="25" t="n">
        <v>36.69</v>
      </c>
      <c r="D40" s="25" t="n">
        <v>32.62</v>
      </c>
    </row>
    <row r="41">
      <c r="A41" s="24" t="inlineStr">
        <is>
          <t>AKCNP01-B</t>
        </is>
      </c>
      <c r="B41" s="24" t="inlineStr">
        <is>
          <t>Chrome plated brass water gun, with trigger protection, blue</t>
        </is>
      </c>
      <c r="C41" s="25" t="n">
        <v>38.93</v>
      </c>
      <c r="D41" s="25" t="n">
        <v>34.6</v>
      </c>
    </row>
    <row r="42">
      <c r="A42" s="24" t="inlineStr">
        <is>
          <t>AKCNP01-W</t>
        </is>
      </c>
      <c r="B42" s="24" t="inlineStr">
        <is>
          <t>Chrome plated brass water gun, with trigger protection, white</t>
        </is>
      </c>
      <c r="C42" s="25" t="n">
        <v>38.93</v>
      </c>
      <c r="D42" s="25" t="n">
        <v>34.6</v>
      </c>
    </row>
    <row r="43"/>
    <row r="44">
      <c r="A44" s="24" t="inlineStr">
        <is>
          <t>BRFT003-B</t>
        </is>
      </c>
      <c r="B44" s="24" t="inlineStr">
        <is>
          <t>Blue Princess economic stainless steel water gun, blue</t>
        </is>
      </c>
      <c r="C44" s="25" t="n">
        <v>55.16596800000001</v>
      </c>
      <c r="D44" s="25" t="n">
        <v>49.036416</v>
      </c>
    </row>
    <row r="45">
      <c r="A45" s="24" t="inlineStr">
        <is>
          <t>BRFT003-B-PRIN</t>
        </is>
      </c>
      <c r="B45" s="24" t="inlineStr">
        <is>
          <t>Blue Princess economic stainless steel water gun, blue with PRINCESS logo</t>
        </is>
      </c>
      <c r="C45" s="25" t="n">
        <v>55.212498</v>
      </c>
      <c r="D45" s="25" t="n">
        <v>49.077776</v>
      </c>
    </row>
    <row r="46">
      <c r="A46" s="24" t="inlineStr">
        <is>
          <t>BRFTP03-B-PRIN</t>
        </is>
      </c>
      <c r="B46" s="24" t="inlineStr">
        <is>
          <t>Blue Princess economic stainless steel water gun, with trigger guard and insulation trigger, bue with Princess logo</t>
        </is>
      </c>
      <c r="C46" s="25" t="n">
        <v>71.127</v>
      </c>
      <c r="D46" s="25" t="n">
        <v>63.224</v>
      </c>
    </row>
    <row r="47">
      <c r="A47" s="24" t="inlineStr">
        <is>
          <t>AKRN001-B</t>
        </is>
      </c>
      <c r="B47" s="24" t="inlineStr">
        <is>
          <t>St.st. water gun, blue</t>
        </is>
      </c>
      <c r="C47" s="25" t="n">
        <v>80.06882400000001</v>
      </c>
      <c r="D47" s="25" t="n">
        <v>71.18000000000001</v>
      </c>
    </row>
    <row r="48">
      <c r="A48" s="24" t="inlineStr">
        <is>
          <t>AKRN001-W</t>
        </is>
      </c>
      <c r="B48" s="24" t="inlineStr">
        <is>
          <t xml:space="preserve">St.st. water gun, white </t>
        </is>
      </c>
      <c r="C48" s="25" t="n">
        <v>80.06882400000001</v>
      </c>
      <c r="D48" s="25" t="n">
        <v>71.18000000000001</v>
      </c>
    </row>
    <row r="49">
      <c r="A49" s="24" t="inlineStr">
        <is>
          <t>AKRNP01-B</t>
        </is>
      </c>
      <c r="B49" s="24" t="inlineStr">
        <is>
          <t>St.st. water gun, with trigger protection, blue</t>
        </is>
      </c>
      <c r="C49" s="25" t="n">
        <v>82.562832</v>
      </c>
      <c r="D49" s="25" t="n">
        <v>73.39</v>
      </c>
    </row>
    <row r="50">
      <c r="A50" s="24" t="inlineStr">
        <is>
          <t>AKRNP01-W</t>
        </is>
      </c>
      <c r="B50" s="24" t="inlineStr">
        <is>
          <t>St.st. water gun, with trigger protection, white</t>
        </is>
      </c>
      <c r="C50" s="25" t="n">
        <v>82.562832</v>
      </c>
      <c r="D50" s="25" t="n">
        <v>73.39</v>
      </c>
    </row>
    <row r="51"/>
    <row r="52">
      <c r="A52" s="24" t="inlineStr">
        <is>
          <t>AKRHP01-R</t>
        </is>
      </c>
      <c r="B52" s="24" t="inlineStr">
        <is>
          <t>St.st. water gun with trigger protection, Teflon/air handgrip insulation, red</t>
        </is>
      </c>
      <c r="C52" s="25" t="n">
        <v>91.74785400000002</v>
      </c>
      <c r="D52" s="25" t="n">
        <v>81.55</v>
      </c>
    </row>
    <row r="53">
      <c r="A53" s="24" t="inlineStr">
        <is>
          <t>AKRHPB1-R</t>
        </is>
      </c>
      <c r="B53" s="24" t="inlineStr">
        <is>
          <t>St.st. water gun, big flow, with trigger protection, Teflon/air handgrip insulation, red</t>
        </is>
      </c>
      <c r="C53" s="25" t="n">
        <v>91.74785400000002</v>
      </c>
      <c r="D53" s="25" t="n">
        <v>81.55</v>
      </c>
    </row>
    <row r="54">
      <c r="A54" s="24" t="inlineStr">
        <is>
          <t>AKRHP02-R-L40</t>
        </is>
      </c>
      <c r="B54" s="24" t="inlineStr">
        <is>
          <t>St.st. water gun with trigger protection, Teflon/air handgrip insulation, 40cm lance, red</t>
        </is>
      </c>
      <c r="C54" s="25" t="n">
        <v>143.191422</v>
      </c>
      <c r="D54" s="25" t="n">
        <v>127.28</v>
      </c>
    </row>
    <row r="55"/>
    <row r="56">
      <c r="A56" s="24" t="inlineStr">
        <is>
          <t>AKRNP01-BL-EX</t>
        </is>
      </c>
      <c r="B56" s="24" t="inlineStr">
        <is>
          <t>St.st. water gun, with trigger protection, EX-covers, black</t>
        </is>
      </c>
      <c r="C56" s="25" t="n">
        <v>103.147704</v>
      </c>
      <c r="D56" s="25" t="n">
        <v>91.69</v>
      </c>
    </row>
    <row r="57">
      <c r="A57" s="24" t="inlineStr">
        <is>
          <t>AKRN002-LB-LAT</t>
        </is>
      </c>
      <c r="B57" s="24" t="inlineStr">
        <is>
          <t>St.st. water gun with latex cover, light blue</t>
        </is>
      </c>
      <c r="C57" s="25" t="n">
        <v>114.55686</v>
      </c>
      <c r="D57" s="25" t="n">
        <v>101.83</v>
      </c>
    </row>
    <row r="58"/>
    <row r="59">
      <c r="A59" s="24" t="inlineStr">
        <is>
          <t>AKRSV01-B</t>
        </is>
      </c>
      <c r="B59" s="24" t="inlineStr">
        <is>
          <t>Versatile stainless steel squeeze valve "Squeezer", blue</t>
        </is>
      </c>
      <c r="C59" s="25" t="n">
        <v>63.12</v>
      </c>
      <c r="D59" s="25" t="n">
        <v>59.41</v>
      </c>
      <c r="E59" s="25" t="n">
        <v>51.98</v>
      </c>
    </row>
    <row r="60">
      <c r="A60" s="24" t="inlineStr">
        <is>
          <t>AKR001-B</t>
        </is>
      </c>
      <c r="B60" s="24" t="inlineStr">
        <is>
          <t>St, st. shower head, blue</t>
        </is>
      </c>
      <c r="C60" s="25" t="n">
        <v>18.28</v>
      </c>
      <c r="D60" s="25" t="n">
        <v>17.2</v>
      </c>
      <c r="E60" s="25" t="n">
        <v>15.05</v>
      </c>
    </row>
    <row r="61"/>
    <row r="62"/>
    <row r="63"/>
    <row r="64"/>
    <row r="65">
      <c r="A65" s="24" t="inlineStr">
        <is>
          <t>Baby water guns</t>
        </is>
      </c>
    </row>
    <row r="66"/>
    <row r="67">
      <c r="A67" s="24" t="inlineStr">
        <is>
          <t>Product code</t>
        </is>
      </c>
      <c r="B67" s="24" t="inlineStr">
        <is>
          <t>Description</t>
        </is>
      </c>
      <c r="C67" s="24" t="inlineStr">
        <is>
          <t>Price p/pc in Euro</t>
        </is>
      </c>
    </row>
    <row r="68">
      <c r="C68" s="24" t="inlineStr">
        <is>
          <t>&lt; 20 pcs</t>
        </is>
      </c>
      <c r="D68" s="24" t="inlineStr">
        <is>
          <t>≥ 20 pcs</t>
        </is>
      </c>
    </row>
    <row r="69">
      <c r="A69" s="24" t="inlineStr">
        <is>
          <t>Baby water guns "aluminium"</t>
        </is>
      </c>
      <c r="D69" s="25" t="n">
        <v>0.1</v>
      </c>
      <c r="E69" s="25" t="n">
        <v>0.2</v>
      </c>
    </row>
    <row r="70"/>
    <row r="71">
      <c r="A71" s="24" t="inlineStr">
        <is>
          <t>BABTN01-B</t>
        </is>
      </c>
      <c r="B71" s="24" t="inlineStr">
        <is>
          <t>Aluminium "baby" water gun, back trigger, blue</t>
        </is>
      </c>
      <c r="C71" s="25" t="n">
        <v>19.458846</v>
      </c>
      <c r="D71" s="25" t="n">
        <v>17.296752</v>
      </c>
    </row>
    <row r="72">
      <c r="A72" s="24" t="inlineStr">
        <is>
          <t>BABTLF1-BL</t>
        </is>
      </c>
      <c r="B72" s="24" t="inlineStr">
        <is>
          <t>Aluminium "baby" water gun, back trigger, 1/2" female outlet, black</t>
        </is>
      </c>
      <c r="C72" s="25" t="n">
        <v>20.56626</v>
      </c>
      <c r="D72" s="25" t="n">
        <v>18.28112</v>
      </c>
    </row>
    <row r="73">
      <c r="A73" s="24" t="inlineStr">
        <is>
          <t>BABTA01-B</t>
        </is>
      </c>
      <c r="B73" s="24" t="inlineStr">
        <is>
          <t>Aluminium "baby" water gun, back trigger, adapter outlet, blue</t>
        </is>
      </c>
      <c r="C73" s="25" t="n">
        <v>20.56626</v>
      </c>
      <c r="D73" s="25" t="n">
        <v>18.28112</v>
      </c>
    </row>
    <row r="74">
      <c r="A74" s="24" t="inlineStr">
        <is>
          <t>BABTNAA-B</t>
        </is>
      </c>
      <c r="B74" s="24" t="inlineStr">
        <is>
          <t>Aluminium "baby" water gun, back trigger, adapter in/output, blue</t>
        </is>
      </c>
      <c r="C74" s="25" t="n">
        <v>22.7997</v>
      </c>
      <c r="D74" s="25" t="n">
        <v>20.2664</v>
      </c>
    </row>
    <row r="75"/>
    <row r="76"/>
    <row r="77">
      <c r="A77" s="24" t="inlineStr">
        <is>
          <t>Baby water guns "brass"</t>
        </is>
      </c>
    </row>
    <row r="78"/>
    <row r="79">
      <c r="A79" s="24" t="inlineStr">
        <is>
          <t>BMBTN01-B</t>
        </is>
      </c>
      <c r="B79" s="24" t="inlineStr">
        <is>
          <t>Brass "baby" water gun, back trigger, blue</t>
        </is>
      </c>
      <c r="C79" s="25" t="n">
        <v>22.418154</v>
      </c>
      <c r="D79" s="25" t="n">
        <v>19.927248</v>
      </c>
    </row>
    <row r="80">
      <c r="A80" s="24" t="inlineStr">
        <is>
          <t>BMBNN01-B</t>
        </is>
      </c>
      <c r="B80" s="24" t="inlineStr">
        <is>
          <t>Brass "baby" water gun, back trigger, 1/2" male outlet with adjustable spray pattern, blue</t>
        </is>
      </c>
      <c r="C80" s="25" t="n">
        <v>22.418154</v>
      </c>
      <c r="D80" s="25" t="n">
        <v>19.927248</v>
      </c>
    </row>
    <row r="81">
      <c r="A81" s="24" t="inlineStr">
        <is>
          <t>BMBTL01-B</t>
        </is>
      </c>
      <c r="B81" s="24" t="inlineStr">
        <is>
          <t>Brass "baby" water gun, back trigger, 1/2" male outlet, blue</t>
        </is>
      </c>
      <c r="C81" s="25" t="n">
        <v>23.516262</v>
      </c>
      <c r="D81" s="25" t="n">
        <v>20.903344</v>
      </c>
    </row>
    <row r="82">
      <c r="A82" s="24" t="inlineStr">
        <is>
          <t>BMBTA01-B</t>
        </is>
      </c>
      <c r="B82" s="24" t="inlineStr">
        <is>
          <t>Brass "baby" water gun, back trigger, adapter output, blue</t>
        </is>
      </c>
      <c r="C82" s="25" t="n">
        <v>23.516262</v>
      </c>
      <c r="D82" s="25" t="n">
        <v>20.903344</v>
      </c>
    </row>
    <row r="83">
      <c r="A83" s="24" t="inlineStr">
        <is>
          <t>BMBTA02-B-V</t>
        </is>
      </c>
      <c r="B83" s="24" t="inlineStr">
        <is>
          <t>Brass "baby" water gun, back trigger, adapter output, viton seals, blue</t>
        </is>
      </c>
      <c r="C83" s="25" t="n">
        <v>23.516262</v>
      </c>
      <c r="D83" s="25" t="n">
        <v>20.903344</v>
      </c>
    </row>
    <row r="84"/>
    <row r="85">
      <c r="A85" s="24" t="inlineStr">
        <is>
          <t>Other water guns</t>
        </is>
      </c>
    </row>
    <row r="86"/>
    <row r="87">
      <c r="A87" s="24" t="inlineStr">
        <is>
          <t>Product code</t>
        </is>
      </c>
      <c r="B87" s="24" t="inlineStr">
        <is>
          <t>Description</t>
        </is>
      </c>
      <c r="C87" s="24" t="inlineStr">
        <is>
          <t>Price p/pc in Euro</t>
        </is>
      </c>
    </row>
    <row r="88">
      <c r="C88" s="24" t="inlineStr">
        <is>
          <t>&lt; 10 pcs</t>
        </is>
      </c>
      <c r="D88" s="24" t="inlineStr">
        <is>
          <t>≥ 10 pcs</t>
        </is>
      </c>
      <c r="E88" s="24" t="inlineStr">
        <is>
          <t>≥ 50 pcs</t>
        </is>
      </c>
    </row>
    <row r="89">
      <c r="D89" s="25" t="n">
        <v>0.2</v>
      </c>
      <c r="E89" s="25" t="n">
        <v>0.3</v>
      </c>
    </row>
    <row r="90">
      <c r="A90" s="24" t="inlineStr">
        <is>
          <t>AGIL572</t>
        </is>
      </c>
      <c r="B90" s="24" t="inlineStr">
        <is>
          <t>Water nozzle light duty, red</t>
        </is>
      </c>
      <c r="C90" s="25" t="n">
        <v>11.19</v>
      </c>
      <c r="E90" s="24" t="inlineStr">
        <is>
          <t>48pcs 9,87</t>
        </is>
      </c>
    </row>
    <row r="91"/>
    <row r="92">
      <c r="A92" s="24" t="inlineStr">
        <is>
          <t>AKMSH03-B</t>
        </is>
      </c>
      <c r="B92" s="24" t="inlineStr">
        <is>
          <t>Brass spray head black, blue handgrip</t>
        </is>
      </c>
      <c r="C92" s="25" t="n">
        <v>40.97121600000001</v>
      </c>
      <c r="D92" s="25" t="n">
        <v>35.849814</v>
      </c>
      <c r="E92" s="25" t="n">
        <v>33.289113</v>
      </c>
    </row>
    <row r="93">
      <c r="A93" s="24" t="inlineStr">
        <is>
          <t>AKMSH03-R</t>
        </is>
      </c>
      <c r="B93" s="24" t="inlineStr">
        <is>
          <t>Brass spray head black, red handgrip</t>
        </is>
      </c>
      <c r="C93" s="25" t="n">
        <v>40.97121600000001</v>
      </c>
      <c r="D93" s="25" t="n">
        <v>35.849814</v>
      </c>
      <c r="E93" s="25" t="n">
        <v>33.289113</v>
      </c>
    </row>
    <row r="94">
      <c r="A94" s="24" t="inlineStr">
        <is>
          <t>AKMSH03-W</t>
        </is>
      </c>
      <c r="B94" s="24" t="inlineStr">
        <is>
          <t>Brass spray head black, white handgrip</t>
        </is>
      </c>
      <c r="C94" s="25" t="n">
        <v>40.97121600000001</v>
      </c>
      <c r="D94" s="25" t="n">
        <v>35.849814</v>
      </c>
      <c r="E94" s="25" t="n">
        <v>33.289113</v>
      </c>
    </row>
    <row r="95">
      <c r="A95" s="24" t="inlineStr">
        <is>
          <t>AKMSHH4-BL</t>
        </is>
      </c>
      <c r="B95" s="24" t="inlineStr">
        <is>
          <t>Spray head in brass, black with EPDM &amp; Clipperlon seals</t>
        </is>
      </c>
      <c r="C95" s="25" t="n">
        <v>30.457504</v>
      </c>
      <c r="D95" s="25" t="n">
        <v>26.650316</v>
      </c>
      <c r="E95" s="25" t="n">
        <v>24.746722</v>
      </c>
    </row>
    <row r="96"/>
    <row r="97">
      <c r="A97" s="24" t="inlineStr">
        <is>
          <t>AKRSH03-B</t>
        </is>
      </c>
      <c r="B97" s="24" t="inlineStr">
        <is>
          <t>St.st. spray head black, blue handgrip</t>
        </is>
      </c>
      <c r="C97" s="25" t="n">
        <v>47.11731200000001</v>
      </c>
      <c r="D97" s="25" t="n">
        <v>41.227648</v>
      </c>
      <c r="E97" s="25" t="n">
        <v>38.282816</v>
      </c>
    </row>
    <row r="98">
      <c r="A98" s="24" t="inlineStr">
        <is>
          <t>AKRSH03-R</t>
        </is>
      </c>
      <c r="B98" s="24" t="inlineStr">
        <is>
          <t>St.st. spray head black, red handgrip</t>
        </is>
      </c>
      <c r="C98" s="25" t="n">
        <v>47.11731200000001</v>
      </c>
      <c r="D98" s="25" t="n">
        <v>41.227648</v>
      </c>
      <c r="E98" s="25" t="n">
        <v>38.282816</v>
      </c>
    </row>
    <row r="99">
      <c r="A99" s="24" t="inlineStr">
        <is>
          <t>AKRSH03-W</t>
        </is>
      </c>
      <c r="B99" s="24" t="inlineStr">
        <is>
          <t>St.st. spray head black, white handgrip</t>
        </is>
      </c>
      <c r="C99" s="25" t="n">
        <v>47.11731200000001</v>
      </c>
      <c r="D99" s="25" t="n">
        <v>41.227648</v>
      </c>
      <c r="E99" s="25" t="n">
        <v>38.282816</v>
      </c>
    </row>
    <row r="100">
      <c r="A100" s="24" t="inlineStr">
        <is>
          <t>AKRSHW3-W</t>
        </is>
      </c>
      <c r="B100" s="24" t="inlineStr">
        <is>
          <t>St.st. spray head white, white handgrip</t>
        </is>
      </c>
      <c r="C100" s="25" t="n">
        <v>48.13476799999999</v>
      </c>
      <c r="D100" s="25" t="n">
        <v>42.11792199999999</v>
      </c>
      <c r="E100" s="25" t="n">
        <v>39.109499</v>
      </c>
    </row>
    <row r="101">
      <c r="A101" s="24" t="inlineStr">
        <is>
          <t>AKRSHH4-BL</t>
        </is>
      </c>
      <c r="B101" s="24" t="inlineStr">
        <is>
          <t>Spray head in stainless steel, black with EPDM &amp; Clipperlon seals</t>
        </is>
      </c>
      <c r="C101" s="25" t="n">
        <v>36.553968</v>
      </c>
      <c r="D101" s="25" t="n">
        <v>31.984722</v>
      </c>
      <c r="E101" s="25" t="n">
        <v>29.700099</v>
      </c>
    </row>
    <row r="102">
      <c r="A102" s="24" t="inlineStr">
        <is>
          <t>AKRSHH4-W</t>
        </is>
      </c>
      <c r="B102" s="24" t="inlineStr">
        <is>
          <t>Spray head in stainless steel, white with EPDM &amp; Clipperlon seals</t>
        </is>
      </c>
      <c r="C102" s="25" t="n">
        <v>37.621056</v>
      </c>
      <c r="D102" s="25" t="n">
        <v>32.918424</v>
      </c>
      <c r="E102" s="25" t="n">
        <v>30.567108</v>
      </c>
    </row>
    <row r="103"/>
    <row r="104">
      <c r="A104" s="24" t="inlineStr">
        <is>
          <t>AKNSH01-B</t>
        </is>
      </c>
      <c r="B104" s="24" t="inlineStr">
        <is>
          <t>Light weight spray head, blue, 3/4" BSP male</t>
        </is>
      </c>
      <c r="C104" s="25" t="n">
        <v>29.067808</v>
      </c>
      <c r="D104" s="25" t="n">
        <v>25.434332</v>
      </c>
      <c r="E104" s="25" t="n">
        <v>23.617594</v>
      </c>
    </row>
    <row r="105"/>
    <row r="106">
      <c r="A106" s="24" t="inlineStr">
        <is>
          <t>AKMSHHL1-BL</t>
        </is>
      </c>
      <c r="B106" s="24" t="inlineStr">
        <is>
          <t>Brass water saving spray head, black</t>
        </is>
      </c>
      <c r="C106" s="25" t="n">
        <v>19.513648</v>
      </c>
      <c r="D106" s="25" t="n">
        <v>17.074442</v>
      </c>
      <c r="E106" s="25" t="n">
        <v>15.854839</v>
      </c>
    </row>
    <row r="107">
      <c r="A107" s="24" t="inlineStr">
        <is>
          <t>AKMSHL1-B</t>
        </is>
      </c>
      <c r="B107" s="24" t="inlineStr">
        <is>
          <t>Brass water saving spray head with handgrip, blue</t>
        </is>
      </c>
      <c r="C107" s="25" t="n">
        <v>31.6404</v>
      </c>
      <c r="D107" s="25" t="n">
        <v>27.68535</v>
      </c>
      <c r="E107" s="25" t="n">
        <v>25.707825</v>
      </c>
    </row>
    <row r="108">
      <c r="A108" s="24" t="inlineStr">
        <is>
          <t>AKRSHHL1-BL</t>
        </is>
      </c>
      <c r="B108" s="24" t="inlineStr">
        <is>
          <t xml:space="preserve">St. st. water saving spray head, black
</t>
        </is>
      </c>
      <c r="C108" s="25" t="n">
        <v>31.954736</v>
      </c>
      <c r="D108" s="25" t="n">
        <v>27.960394</v>
      </c>
      <c r="E108" s="25" t="n">
        <v>25.963223</v>
      </c>
    </row>
    <row r="109">
      <c r="A109" s="24" t="inlineStr">
        <is>
          <t>AKRSHL1-B</t>
        </is>
      </c>
      <c r="B109" s="24" t="inlineStr">
        <is>
          <t xml:space="preserve">St. st. water saving spray head with handgrip, blue
</t>
        </is>
      </c>
      <c r="C109" s="25" t="n">
        <v>41.996944</v>
      </c>
      <c r="D109" s="25" t="n">
        <v>36.747326</v>
      </c>
      <c r="E109" s="25" t="n">
        <v>34.122517</v>
      </c>
    </row>
    <row r="110">
      <c r="A110" s="24" t="inlineStr">
        <is>
          <t>AKRSHL1-W</t>
        </is>
      </c>
      <c r="B110" s="24" t="inlineStr">
        <is>
          <t xml:space="preserve">St. st. water saving spray head with handgrip, white
</t>
        </is>
      </c>
      <c r="C110" s="25" t="n">
        <v>41.996944</v>
      </c>
      <c r="D110" s="25" t="n">
        <v>36.747326</v>
      </c>
      <c r="E110" s="25" t="n">
        <v>34.122517</v>
      </c>
    </row>
    <row r="111"/>
    <row r="112">
      <c r="A112" s="24" t="inlineStr">
        <is>
          <t>TWRWR02M</t>
        </is>
      </c>
      <c r="B112" s="24" t="inlineStr">
        <is>
          <t>St. st. industrial spray head Twister M, white with red protection, inlet 1/2" BSP male</t>
        </is>
      </c>
      <c r="C112" s="25" t="n">
        <v>47.307568</v>
      </c>
      <c r="D112" s="25" t="n">
        <v>41.394122</v>
      </c>
      <c r="E112" s="25" t="n">
        <v>38.437399</v>
      </c>
    </row>
    <row r="113">
      <c r="A113" s="24" t="inlineStr">
        <is>
          <t>TWRWR02L</t>
        </is>
      </c>
      <c r="B113" s="24" t="inlineStr">
        <is>
          <t>St. st. industrial spray head Twister L, white with red protection, inlet 3/4" BSP male</t>
        </is>
      </c>
      <c r="C113" s="25" t="n">
        <v>56.406768</v>
      </c>
      <c r="D113" s="25" t="n">
        <v>49.355922</v>
      </c>
      <c r="E113" s="25" t="n">
        <v>45.830499</v>
      </c>
    </row>
    <row r="114">
      <c r="A114" s="24" t="inlineStr">
        <is>
          <t>TWRWR02XL</t>
        </is>
      </c>
      <c r="B114" s="24" t="inlineStr">
        <is>
          <t>St. st. industrial spray head Twister XL, white with red protection, inlet 1" BSP male</t>
        </is>
      </c>
      <c r="C114" s="25" t="n">
        <v>60.04644800000001</v>
      </c>
      <c r="D114" s="25" t="n">
        <v>52.54064200000001</v>
      </c>
      <c r="E114" s="25" t="n">
        <v>48.78773900000001</v>
      </c>
    </row>
    <row r="115"/>
    <row r="116">
      <c r="A116" s="24" t="inlineStr">
        <is>
          <t>AKAWLU1-B</t>
        </is>
      </c>
      <c r="B116" s="24" t="inlineStr">
        <is>
          <t>Air/water gun, blue</t>
        </is>
      </c>
      <c r="C116" s="25" t="n">
        <v>76.34999999999999</v>
      </c>
      <c r="E116" s="24" t="inlineStr">
        <is>
          <t>20pcs 66,81</t>
        </is>
      </c>
    </row>
    <row r="117"/>
    <row r="118">
      <c r="C118" s="24" t="inlineStr">
        <is>
          <t>Price p/pc in Euro</t>
        </is>
      </c>
    </row>
    <row r="119">
      <c r="A119" s="24" t="inlineStr">
        <is>
          <t>Water Saver</t>
        </is>
      </c>
      <c r="C119" s="24" t="inlineStr">
        <is>
          <t>&lt; 10 pcs</t>
        </is>
      </c>
      <c r="D119" s="24" t="inlineStr">
        <is>
          <t>≥ 10 pcs</t>
        </is>
      </c>
      <c r="E119" s="24" t="inlineStr">
        <is>
          <t>≥ 50 pcs</t>
        </is>
      </c>
    </row>
    <row r="120">
      <c r="D120" s="25" t="n">
        <v>0.2</v>
      </c>
      <c r="E120" s="25" t="n">
        <v>0.25</v>
      </c>
    </row>
    <row r="121">
      <c r="A121" s="24" t="inlineStr">
        <is>
          <t>AKWMS01</t>
        </is>
      </c>
      <c r="B121" s="24" t="inlineStr">
        <is>
          <t>Water saver brass; model S; 3/4" female</t>
        </is>
      </c>
      <c r="C121" s="25" t="n">
        <v>34.803</v>
      </c>
      <c r="D121" s="25" t="n">
        <v>30.94</v>
      </c>
    </row>
    <row r="122">
      <c r="A122" s="24" t="inlineStr">
        <is>
          <t>AKWMM01</t>
        </is>
      </c>
      <c r="B122" s="24" t="inlineStr">
        <is>
          <t>Water saver brass; model M; 3/4" female</t>
        </is>
      </c>
      <c r="C122" s="25" t="n">
        <v>34.803</v>
      </c>
      <c r="D122" s="25" t="n">
        <v>30.94</v>
      </c>
    </row>
    <row r="123">
      <c r="A123" s="24" t="inlineStr">
        <is>
          <t>AKWML01</t>
        </is>
      </c>
      <c r="B123" s="24" t="inlineStr">
        <is>
          <t>Water saver brass; model L; 3/4" female</t>
        </is>
      </c>
      <c r="C123" s="25" t="n">
        <v>34.803</v>
      </c>
      <c r="D123" s="25" t="n">
        <v>30.94</v>
      </c>
    </row>
    <row r="124">
      <c r="A124" s="24" t="inlineStr">
        <is>
          <t>AKWMR01</t>
        </is>
      </c>
      <c r="B124" s="24" t="inlineStr">
        <is>
          <t>Water saver brass; model R; 3/4" female</t>
        </is>
      </c>
      <c r="C124" s="25" t="n">
        <v>34.803</v>
      </c>
      <c r="D124" s="25" t="n">
        <v>30.94</v>
      </c>
    </row>
    <row r="125"/>
    <row r="126">
      <c r="A126" s="24" t="inlineStr">
        <is>
          <t>AKWRS01</t>
        </is>
      </c>
      <c r="B126" s="24" t="inlineStr">
        <is>
          <t>Water saver stainless steel; model S; 3/4" female</t>
        </is>
      </c>
      <c r="C126" s="25" t="n">
        <v>88.84128000000001</v>
      </c>
      <c r="D126" s="25" t="n">
        <v>83.28870000000001</v>
      </c>
    </row>
    <row r="127">
      <c r="A127" s="24" t="inlineStr">
        <is>
          <t>AKWRM01</t>
        </is>
      </c>
      <c r="B127" s="24" t="inlineStr">
        <is>
          <t>Water saver stainless steel; model M; 3/4" female</t>
        </is>
      </c>
      <c r="C127" s="25" t="n">
        <v>88.84128000000001</v>
      </c>
      <c r="D127" s="25" t="n">
        <v>83.28870000000001</v>
      </c>
    </row>
    <row r="128">
      <c r="A128" s="24" t="inlineStr">
        <is>
          <t>AKWRL01</t>
        </is>
      </c>
      <c r="B128" s="24" t="inlineStr">
        <is>
          <t>Water saver stainless steel; model L; 3/4" female</t>
        </is>
      </c>
      <c r="C128" s="25" t="n">
        <v>88.84128000000001</v>
      </c>
      <c r="D128" s="25" t="n">
        <v>83.28870000000001</v>
      </c>
    </row>
    <row r="129">
      <c r="A129" s="24" t="inlineStr">
        <is>
          <t>AKWRR01</t>
        </is>
      </c>
      <c r="B129" s="24" t="inlineStr">
        <is>
          <t>Water saver stainless steel; model R; 3/4" female</t>
        </is>
      </c>
      <c r="C129" s="25" t="n">
        <v>88.84128000000001</v>
      </c>
      <c r="D129" s="25" t="n">
        <v>83.28870000000001</v>
      </c>
    </row>
    <row r="130"/>
    <row r="131">
      <c r="A131" s="24" t="inlineStr">
        <is>
          <t>BWNM045</t>
        </is>
      </c>
      <c r="B131" s="24" t="inlineStr">
        <is>
          <t xml:space="preserve">Economic Sprayer "Blue Nozzle" brass with EPDM, 4.5mm outlet </t>
        </is>
      </c>
      <c r="C131" s="25" t="n">
        <v>23.293952</v>
      </c>
      <c r="D131" s="25" t="n">
        <v>21.83808</v>
      </c>
      <c r="E131" s="25" t="n">
        <v>19.7998592</v>
      </c>
    </row>
    <row r="132"/>
    <row r="133">
      <c r="C133" s="24" t="inlineStr">
        <is>
          <t>Price p/pc in Euro</t>
        </is>
      </c>
    </row>
    <row r="134">
      <c r="C134" s="24" t="inlineStr">
        <is>
          <t>&lt; 10 pcs</t>
        </is>
      </c>
      <c r="D134" s="24" t="inlineStr">
        <is>
          <t>≥ 10 pcs</t>
        </is>
      </c>
      <c r="E134" s="24" t="inlineStr">
        <is>
          <t>≥ 50 pcs</t>
        </is>
      </c>
    </row>
    <row r="135">
      <c r="A135" s="24" t="inlineStr">
        <is>
          <t>Shower Head</t>
        </is>
      </c>
      <c r="D135" s="25" t="n">
        <v>0.2</v>
      </c>
      <c r="E135" s="25" t="n">
        <v>0.3</v>
      </c>
    </row>
    <row r="136"/>
    <row r="137">
      <c r="A137" s="24" t="inlineStr">
        <is>
          <t>AKKS003-B</t>
        </is>
      </c>
      <c r="B137" s="24" t="inlineStr">
        <is>
          <t>Plastic shower head, blue</t>
        </is>
      </c>
      <c r="C137" s="25" t="n">
        <v>42.096208</v>
      </c>
      <c r="D137" s="25" t="n">
        <v>36.834182</v>
      </c>
      <c r="E137" s="25" t="n">
        <v>34.203169</v>
      </c>
    </row>
    <row r="138">
      <c r="A138" s="24" t="inlineStr">
        <is>
          <t>AKKS003-B-19</t>
        </is>
      </c>
      <c r="B138" s="24" t="inlineStr">
        <is>
          <t>Plastic shower head blue with 19mm hose tail MESC019 (separate)</t>
        </is>
      </c>
      <c r="C138" s="25" t="n">
        <v>46.099856</v>
      </c>
      <c r="D138" s="25" t="n">
        <v>40.337374</v>
      </c>
      <c r="E138" s="25" t="n">
        <v>37.456133</v>
      </c>
    </row>
    <row r="139">
      <c r="A139" s="24" t="inlineStr">
        <is>
          <t>AKKS003-W</t>
        </is>
      </c>
      <c r="B139" s="24" t="inlineStr">
        <is>
          <t>Plastic shower head, white</t>
        </is>
      </c>
      <c r="C139" s="25" t="n">
        <v>42.096208</v>
      </c>
      <c r="D139" s="25" t="n">
        <v>36.834182</v>
      </c>
      <c r="E139" s="25" t="n">
        <v>34.203169</v>
      </c>
    </row>
    <row r="140">
      <c r="A140" s="24" t="inlineStr">
        <is>
          <t>AKKS003-W-19</t>
        </is>
      </c>
      <c r="B140" s="24" t="inlineStr">
        <is>
          <t>Plastic shower head white with 19mm hose tail MESC019 (separate)</t>
        </is>
      </c>
      <c r="C140" s="25" t="n">
        <v>46.099856</v>
      </c>
      <c r="D140" s="25" t="n">
        <v>40.337374</v>
      </c>
      <c r="E140" s="25" t="n">
        <v>37.456133</v>
      </c>
    </row>
    <row r="141"/>
    <row r="142"/>
    <row r="143">
      <c r="A143" s="24" t="inlineStr">
        <is>
          <t>Protected ball valves</t>
        </is>
      </c>
    </row>
    <row r="144"/>
    <row r="145">
      <c r="A145" s="24" t="inlineStr">
        <is>
          <t>Product code</t>
        </is>
      </c>
      <c r="B145" s="24" t="inlineStr">
        <is>
          <t>Description</t>
        </is>
      </c>
      <c r="C145" s="24" t="inlineStr">
        <is>
          <t>Price p/pc in Euro</t>
        </is>
      </c>
    </row>
    <row r="146">
      <c r="C146" s="24" t="inlineStr">
        <is>
          <t>&lt; 10 pcs</t>
        </is>
      </c>
      <c r="D146" s="24" t="inlineStr">
        <is>
          <t>≥ 10 pcs</t>
        </is>
      </c>
      <c r="E146" s="24" t="inlineStr">
        <is>
          <t>≥ 50 pcs</t>
        </is>
      </c>
    </row>
    <row r="147">
      <c r="D147" s="25" t="n">
        <v>0.15</v>
      </c>
      <c r="E147" s="25" t="n">
        <v>0.2</v>
      </c>
    </row>
    <row r="148">
      <c r="A148" s="24" t="inlineStr">
        <is>
          <t>BALR001-B</t>
        </is>
      </c>
      <c r="B148" s="24" t="inlineStr">
        <is>
          <t>St.st. protected ball valve, 1/2" female x 1/2" female, blue</t>
        </is>
      </c>
      <c r="C148" s="25" t="n">
        <v>43.892266</v>
      </c>
      <c r="D148" s="25" t="n">
        <v>41.310368</v>
      </c>
      <c r="E148" s="25" t="n">
        <v>36.146572</v>
      </c>
    </row>
    <row r="149">
      <c r="A149" s="24" t="inlineStr">
        <is>
          <t>BALRCP1-B</t>
        </is>
      </c>
      <c r="B149" s="24" t="inlineStr">
        <is>
          <t>St.st. protected ball valve, 1/2" female x st.st. coupler with protection, blue</t>
        </is>
      </c>
      <c r="C149" s="25" t="n">
        <v>63.025919</v>
      </c>
      <c r="D149" s="25" t="n">
        <v>59.318512</v>
      </c>
      <c r="E149" s="25" t="n">
        <v>51.903698</v>
      </c>
    </row>
    <row r="150">
      <c r="A150" s="24" t="inlineStr">
        <is>
          <t>BALRCP1-NB</t>
        </is>
      </c>
      <c r="B150" s="24" t="inlineStr">
        <is>
          <t>St.st. protected ball valve, 1/2" female x st.st. coupler with nylon protection, blue</t>
        </is>
      </c>
      <c r="C150" s="25" t="n">
        <v>66.53273000000002</v>
      </c>
      <c r="D150" s="25" t="n">
        <v>62.61904000000001</v>
      </c>
      <c r="E150" s="25" t="n">
        <v>54.79166000000001</v>
      </c>
    </row>
    <row r="151">
      <c r="A151" s="24" t="inlineStr">
        <is>
          <t>BARRCP2-B</t>
        </is>
      </c>
      <c r="B151" s="24" t="inlineStr">
        <is>
          <t>Stainless steel (AISI 316) ball valve with mechanical protection, coupler with blue protection and adapter</t>
        </is>
      </c>
      <c r="C151" s="25" t="n">
        <v>52.874624</v>
      </c>
      <c r="D151" s="25" t="n">
        <v>49.764352</v>
      </c>
      <c r="E151" s="25" t="n">
        <v>43.543808</v>
      </c>
    </row>
    <row r="152"/>
    <row r="153"/>
    <row r="154"/>
    <row r="155">
      <c r="A155" s="24" t="inlineStr">
        <is>
          <t>Ball bearing swivels</t>
        </is>
      </c>
    </row>
    <row r="156"/>
    <row r="157">
      <c r="A157" s="24" t="inlineStr">
        <is>
          <t>Product code</t>
        </is>
      </c>
      <c r="B157" s="24" t="inlineStr">
        <is>
          <t>Description</t>
        </is>
      </c>
      <c r="C157" s="24" t="inlineStr">
        <is>
          <t>Price p/pc in Euro</t>
        </is>
      </c>
    </row>
    <row r="158">
      <c r="C158" s="24" t="inlineStr">
        <is>
          <t>&lt; 10 pcs</t>
        </is>
      </c>
      <c r="D158" s="24" t="inlineStr">
        <is>
          <t>≥ 10 pcs</t>
        </is>
      </c>
      <c r="E158" s="24" t="inlineStr">
        <is>
          <t>≥ 50 pcs</t>
        </is>
      </c>
    </row>
    <row r="159">
      <c r="A159" s="24" t="inlineStr">
        <is>
          <t>Brass ball bearing swivels</t>
        </is>
      </c>
      <c r="D159" s="25" t="n">
        <v>0.2</v>
      </c>
      <c r="E159" s="25" t="n">
        <v>0.3</v>
      </c>
    </row>
    <row r="160"/>
    <row r="161">
      <c r="A161" s="24" t="inlineStr">
        <is>
          <t>SWM09-12</t>
        </is>
      </c>
      <c r="B161" s="24" t="inlineStr">
        <is>
          <t>Brass ball bearing swivel, 1/2" male x 1/2" female, 9mm bore, flat seals</t>
        </is>
      </c>
      <c r="C161" s="25" t="n">
        <v>10.100112</v>
      </c>
      <c r="D161" s="25" t="n">
        <v>8.837598000000002</v>
      </c>
      <c r="E161" s="25" t="n">
        <v>8.206341000000002</v>
      </c>
    </row>
    <row r="162">
      <c r="A162" s="24" t="inlineStr">
        <is>
          <t>SWM09-34</t>
        </is>
      </c>
      <c r="B162" s="24" t="inlineStr">
        <is>
          <t>Brass ball bearing swivel, 1/2" male x 3/4" female, 9mm bore, flat seals</t>
        </is>
      </c>
      <c r="C162" s="25" t="n">
        <v>10.447536</v>
      </c>
      <c r="D162" s="25" t="n">
        <v>9.141594000000001</v>
      </c>
      <c r="E162" s="25" t="n">
        <v>8.488623</v>
      </c>
    </row>
    <row r="163">
      <c r="A163" s="24" t="inlineStr">
        <is>
          <t>SWM14-34</t>
        </is>
      </c>
      <c r="B163" s="24" t="inlineStr">
        <is>
          <t>Brass ball bearing swivel, 1/2" male x 3/4" female, 14mm bore, flat seals</t>
        </is>
      </c>
      <c r="C163" s="25" t="n">
        <v>11.1672</v>
      </c>
      <c r="D163" s="25" t="n">
        <v>9.7713</v>
      </c>
      <c r="E163" s="25" t="n">
        <v>9.073350000000001</v>
      </c>
    </row>
    <row r="164">
      <c r="A164" s="24" t="inlineStr">
        <is>
          <t>SWM14-34X34</t>
        </is>
      </c>
      <c r="B164" s="24" t="inlineStr">
        <is>
          <t>Brass ball bearing swivel, 3/4" male x 3/4" female, 14mm bore, flat seals</t>
        </is>
      </c>
      <c r="C164" s="25" t="n">
        <v>12.672704</v>
      </c>
      <c r="D164" s="25" t="n">
        <v>11.088616</v>
      </c>
      <c r="E164" s="25" t="n">
        <v>10.296572</v>
      </c>
    </row>
    <row r="165">
      <c r="A165" s="24" t="inlineStr">
        <is>
          <t>SWM18-1X1</t>
        </is>
      </c>
      <c r="B165" s="24" t="inlineStr">
        <is>
          <t>Brass ball bearing swivel, 1" male x 1" female, 18mm bore, flat seals</t>
        </is>
      </c>
      <c r="C165" s="25" t="n">
        <v>19.166224</v>
      </c>
      <c r="D165" s="25" t="n">
        <v>16.770446</v>
      </c>
      <c r="E165" s="25" t="n">
        <v>15.572557</v>
      </c>
    </row>
    <row r="166">
      <c r="A166" s="24" t="inlineStr">
        <is>
          <t>SWM09-12MX12M</t>
        </is>
      </c>
      <c r="B166" s="24" t="inlineStr">
        <is>
          <t>Brass ball bearing swivel, 1/2" male x 1/2" male, 9mm bore, flat seals</t>
        </is>
      </c>
      <c r="C166" s="25" t="n">
        <v>10.348272</v>
      </c>
      <c r="D166" s="25" t="n">
        <v>9.054738</v>
      </c>
      <c r="E166" s="25" t="n">
        <v>8.407971</v>
      </c>
    </row>
    <row r="167">
      <c r="A167" s="24" t="inlineStr">
        <is>
          <t>SWM09-12MX34M</t>
        </is>
      </c>
      <c r="B167" s="24" t="inlineStr">
        <is>
          <t>Brass ball bearing swivel, 1/2" male x 3/4" male, 9mm bore, flat seal</t>
        </is>
      </c>
      <c r="C167" s="25" t="n">
        <v>10.348272</v>
      </c>
      <c r="D167" s="25" t="n">
        <v>9.054738</v>
      </c>
      <c r="E167" s="25" t="n">
        <v>8.407971</v>
      </c>
    </row>
    <row r="168"/>
    <row r="169"/>
    <row r="170">
      <c r="A170" s="24" t="inlineStr">
        <is>
          <t>Chrome plated brass ball bearing swivels</t>
        </is>
      </c>
    </row>
    <row r="171"/>
    <row r="172">
      <c r="A172" s="24" t="inlineStr">
        <is>
          <t>SWC09-12</t>
        </is>
      </c>
      <c r="B172" s="24" t="inlineStr">
        <is>
          <t>Chrome plated brass ball bearing swivel, 1/2" male x 1/2" female, 9mm bore, flat seals</t>
        </is>
      </c>
      <c r="C172" s="25" t="n">
        <v>12.978768</v>
      </c>
      <c r="D172" s="25" t="n">
        <v>11.356422</v>
      </c>
      <c r="E172" s="25" t="n">
        <v>10.545249</v>
      </c>
    </row>
    <row r="173">
      <c r="A173" s="24" t="inlineStr">
        <is>
          <t>SWC09-34</t>
        </is>
      </c>
      <c r="B173" s="24" t="inlineStr">
        <is>
          <t>Chrome plated brass ball bearing swivel, 1/2" male x 3/4" female, 9mm bore, flat seals</t>
        </is>
      </c>
      <c r="C173" s="25" t="n">
        <v>12.978768</v>
      </c>
      <c r="D173" s="25" t="n">
        <v>11.356422</v>
      </c>
      <c r="E173" s="25" t="n">
        <v>10.545249</v>
      </c>
    </row>
    <row r="174"/>
    <row r="175"/>
    <row r="176">
      <c r="A176" s="24" t="inlineStr">
        <is>
          <t>Stainless steel 316 ball bearing swivels</t>
        </is>
      </c>
    </row>
    <row r="177"/>
    <row r="178">
      <c r="A178" s="24" t="inlineStr">
        <is>
          <t>SWR09-12</t>
        </is>
      </c>
      <c r="B178" s="24" t="inlineStr">
        <is>
          <t>St.st. ball bearing swivel, 1/2" male x 1/2" female, 9mm bore, flat seals</t>
        </is>
      </c>
      <c r="C178" s="25" t="n">
        <v>20.076144</v>
      </c>
      <c r="D178" s="25" t="n">
        <v>17.566626</v>
      </c>
      <c r="E178" s="25" t="n">
        <v>16.311867</v>
      </c>
    </row>
    <row r="179">
      <c r="A179" s="24" t="inlineStr">
        <is>
          <t>SWR09-34</t>
        </is>
      </c>
      <c r="B179" s="24" t="inlineStr">
        <is>
          <t>St.st. ball bearing swivel, 1/2" male x 3/4" female, 9mm bore, flat seals</t>
        </is>
      </c>
      <c r="C179" s="25" t="n">
        <v>20.382208</v>
      </c>
      <c r="D179" s="25" t="n">
        <v>17.834432</v>
      </c>
      <c r="E179" s="25" t="n">
        <v>16.560544</v>
      </c>
    </row>
    <row r="180">
      <c r="A180" s="24" t="inlineStr">
        <is>
          <t>SWR14-34</t>
        </is>
      </c>
      <c r="B180" s="24" t="inlineStr">
        <is>
          <t>St.st. ball bearing swivel, 1/2" male x 3/4" female, 14mm bore, flat seals</t>
        </is>
      </c>
      <c r="C180" s="25" t="n">
        <v>21.498928</v>
      </c>
      <c r="D180" s="25" t="n">
        <v>18.811562</v>
      </c>
      <c r="E180" s="25" t="n">
        <v>17.467879</v>
      </c>
    </row>
    <row r="181">
      <c r="A181" s="24" t="inlineStr">
        <is>
          <t>SWR14-34X34</t>
        </is>
      </c>
      <c r="B181" s="24" t="inlineStr">
        <is>
          <t>St. st. ball bearing swivel, 3/4" male x 3/4" female, 14mm bore, flat seals</t>
        </is>
      </c>
      <c r="C181" s="25" t="n">
        <v>24.948352</v>
      </c>
      <c r="D181" s="25" t="n">
        <v>21.829808</v>
      </c>
      <c r="E181" s="25" t="n">
        <v>20.270536</v>
      </c>
    </row>
    <row r="182">
      <c r="A182" s="24" t="inlineStr">
        <is>
          <t>SWR18-1X1</t>
        </is>
      </c>
      <c r="B182" s="24" t="inlineStr">
        <is>
          <t>St.st. ball bearing swivel, 1" male x 1" female, 18mm bore, flat seals</t>
        </is>
      </c>
      <c r="C182" s="25" t="n">
        <v>32.451056</v>
      </c>
      <c r="D182" s="25" t="n">
        <v>28.394674</v>
      </c>
      <c r="E182" s="25" t="n">
        <v>26.366483</v>
      </c>
    </row>
    <row r="183">
      <c r="A183" s="24" t="inlineStr">
        <is>
          <t>SWR09-12Mx12M</t>
        </is>
      </c>
      <c r="B183" s="24" t="inlineStr">
        <is>
          <t>St.st. ball bearing swivel, 1/2" male x 1/2" male, 9mm bore</t>
        </is>
      </c>
      <c r="C183" s="25" t="n">
        <v>20.746176</v>
      </c>
      <c r="D183" s="25" t="n">
        <v>18.152904</v>
      </c>
      <c r="E183" s="25" t="n">
        <v>16.856268</v>
      </c>
    </row>
    <row r="184">
      <c r="A184" s="24" t="inlineStr">
        <is>
          <t>SWR09-12MX34M</t>
        </is>
      </c>
      <c r="B184" s="24" t="inlineStr">
        <is>
          <t>St.st. ball bearing swivel, 1/2" male x 3/4" male, 9mm bore, flat seal</t>
        </is>
      </c>
      <c r="C184" s="25" t="n">
        <v>20.746176</v>
      </c>
      <c r="D184" s="25" t="n">
        <v>18.152904</v>
      </c>
      <c r="E184" s="25" t="n">
        <v>16.856268</v>
      </c>
    </row>
    <row r="185"/>
    <row r="186"/>
    <row r="187">
      <c r="A187" s="24" t="inlineStr">
        <is>
          <t>Swiveling hose tails</t>
        </is>
      </c>
    </row>
    <row r="188"/>
    <row r="189">
      <c r="A189" s="24" t="inlineStr">
        <is>
          <t>Product code</t>
        </is>
      </c>
      <c r="B189" s="24" t="inlineStr">
        <is>
          <t>Description</t>
        </is>
      </c>
      <c r="C189" s="24" t="inlineStr">
        <is>
          <t>Price p/pc in Euro</t>
        </is>
      </c>
    </row>
    <row r="190">
      <c r="C190" s="24" t="inlineStr">
        <is>
          <t>&lt; 10 pcs</t>
        </is>
      </c>
      <c r="D190" s="24" t="inlineStr">
        <is>
          <t>≥ 10 pcs</t>
        </is>
      </c>
      <c r="E190" s="24" t="inlineStr">
        <is>
          <t>≥ 50 pcs</t>
        </is>
      </c>
    </row>
    <row r="191">
      <c r="A191" s="24" t="inlineStr">
        <is>
          <t>Up to 24 bar</t>
        </is>
      </c>
      <c r="D191" s="25" t="n">
        <v>0.2</v>
      </c>
      <c r="E191" s="25" t="n">
        <v>0.3</v>
      </c>
    </row>
    <row r="192"/>
    <row r="193">
      <c r="A193" s="24" t="inlineStr">
        <is>
          <t>SWIFM1/2</t>
        </is>
      </c>
      <c r="B193" s="24" t="inlineStr">
        <is>
          <t>Brass swivelling hose tail 13mm x 1/2" male</t>
        </is>
      </c>
      <c r="C193" s="25" t="n">
        <v>4.061552000000001</v>
      </c>
      <c r="D193" s="25" t="n">
        <v>3.553858</v>
      </c>
      <c r="E193" s="25" t="n">
        <v>3.300011</v>
      </c>
    </row>
    <row r="194">
      <c r="A194" s="24" t="inlineStr">
        <is>
          <t>SWIFR1/2</t>
        </is>
      </c>
      <c r="B194" s="24" t="inlineStr">
        <is>
          <t>Stainless steel swivelling hose tail 13mm x 1/2" male</t>
        </is>
      </c>
      <c r="C194" s="25" t="n">
        <v>12.176384</v>
      </c>
      <c r="D194" s="25" t="n">
        <v>10.654336</v>
      </c>
      <c r="E194" s="25" t="n">
        <v>9.893312000000002</v>
      </c>
    </row>
    <row r="195"/>
    <row r="196"/>
    <row r="197">
      <c r="A197" s="24" t="inlineStr">
        <is>
          <t>Up to 40 bar with full bore</t>
        </is>
      </c>
    </row>
    <row r="198"/>
    <row r="199">
      <c r="A199" s="24" t="inlineStr">
        <is>
          <t>SWIFB10</t>
        </is>
      </c>
      <c r="B199" s="24" t="inlineStr">
        <is>
          <t>St.st. full bore swivelling hose tail, 10mm x 1/2" BSPT male</t>
        </is>
      </c>
      <c r="C199" s="25" t="n">
        <v>16.436464</v>
      </c>
      <c r="D199" s="25" t="n">
        <v>14.381906</v>
      </c>
      <c r="E199" s="25" t="n">
        <v>13.354627</v>
      </c>
    </row>
    <row r="200">
      <c r="A200" s="24" t="inlineStr">
        <is>
          <t>SWIFB13-C17</t>
        </is>
      </c>
      <c r="B200" s="24" t="inlineStr">
        <is>
          <t>St.st. full bore swivelling hose tail, 13mm x 1/2" male, 17mm collar</t>
        </is>
      </c>
      <c r="C200" s="25" t="n">
        <v>18.967696</v>
      </c>
      <c r="D200" s="25" t="n">
        <v>16.596734</v>
      </c>
      <c r="E200" s="25" t="n">
        <v>15.411253</v>
      </c>
    </row>
    <row r="201">
      <c r="A201" s="24" t="inlineStr">
        <is>
          <t>SWIFB13-C17-SP</t>
        </is>
      </c>
      <c r="B201" s="24" t="inlineStr">
        <is>
          <t>St.st. full bore swivelling hose tail, 13mm x 1/2" male, 17mm collar, inside hose protection spring.</t>
        </is>
      </c>
      <c r="C201" s="25" t="n">
        <v>24.336224</v>
      </c>
      <c r="D201" s="25" t="n">
        <v>21.294196</v>
      </c>
      <c r="E201" s="25" t="n">
        <v>19.773182</v>
      </c>
    </row>
    <row r="202">
      <c r="A202" s="24" t="inlineStr">
        <is>
          <t>SWIFB13-C20</t>
        </is>
      </c>
      <c r="B202" s="24" t="inlineStr">
        <is>
          <t>St.st. full bore swivelling hose tail, 13mm x 1/2" male, 20mm collar</t>
        </is>
      </c>
      <c r="C202" s="25" t="n">
        <v>18.967696</v>
      </c>
      <c r="D202" s="25" t="n">
        <v>16.596734</v>
      </c>
      <c r="E202" s="25" t="n">
        <v>15.411253</v>
      </c>
    </row>
    <row r="203">
      <c r="A203" s="24" t="inlineStr">
        <is>
          <t>SWIFB13-C20-SP</t>
        </is>
      </c>
      <c r="B203" s="24" t="inlineStr">
        <is>
          <t>St.st. full bore swivelling hose tail, 13mm x 1/2" male, 20mm collar, inside hose protection spring</t>
        </is>
      </c>
      <c r="C203" s="25" t="n">
        <v>24.336224</v>
      </c>
      <c r="D203" s="25" t="n">
        <v>21.294196</v>
      </c>
      <c r="E203" s="25" t="n">
        <v>19.773182</v>
      </c>
    </row>
    <row r="204">
      <c r="A204" s="24" t="inlineStr">
        <is>
          <t>SWIFB16-C21</t>
        </is>
      </c>
      <c r="B204" s="24" t="inlineStr">
        <is>
          <t>St.st. full bore swivelling hose tail, 16mm x 1/2" male, 21mm collar</t>
        </is>
      </c>
      <c r="C204" s="25" t="n">
        <v>18.967696</v>
      </c>
      <c r="D204" s="25" t="n">
        <v>16.596734</v>
      </c>
      <c r="E204" s="25" t="n">
        <v>15.411253</v>
      </c>
    </row>
    <row r="205">
      <c r="A205" s="24" t="inlineStr">
        <is>
          <t>SWIFB16-C21-SP</t>
        </is>
      </c>
      <c r="B205" s="24" t="inlineStr">
        <is>
          <t>St.st. full bore swivelling hose tail, 16mm x 1/2" male, 21mm collar, inside hose protection spring</t>
        </is>
      </c>
      <c r="C205" s="25" t="n">
        <v>24.336224</v>
      </c>
      <c r="D205" s="25" t="n">
        <v>21.294196</v>
      </c>
      <c r="E205" s="25" t="n">
        <v>19.773182</v>
      </c>
    </row>
    <row r="206">
      <c r="A206" s="24" t="inlineStr">
        <is>
          <t>SWIFB19-C24</t>
        </is>
      </c>
      <c r="B206" s="24" t="inlineStr">
        <is>
          <t>St.st. full bore swivelling hose tail, 19mm x 1/2" male, 24mm collar</t>
        </is>
      </c>
      <c r="C206" s="25" t="n">
        <v>21.3004</v>
      </c>
      <c r="D206" s="25" t="n">
        <v>18.63785</v>
      </c>
      <c r="E206" s="25" t="n">
        <v>17.306575</v>
      </c>
    </row>
    <row r="207">
      <c r="A207" s="24" t="inlineStr">
        <is>
          <t>SWIFB19-C24-34</t>
        </is>
      </c>
      <c r="B207" s="24" t="inlineStr">
        <is>
          <t>St.st. full bore swivelling hose tail, 19mm x 3/4" male, 24mm collar</t>
        </is>
      </c>
      <c r="C207" s="25" t="n">
        <v>22.317856</v>
      </c>
      <c r="D207" s="25" t="n">
        <v>19.528124</v>
      </c>
      <c r="E207" s="25" t="n">
        <v>18.133258</v>
      </c>
    </row>
    <row r="208">
      <c r="A208" s="24" t="inlineStr">
        <is>
          <t>SWIFB19-C24-34S</t>
        </is>
      </c>
      <c r="B208" s="24" t="inlineStr">
        <is>
          <t>St.st. full bore swivelling hose tail, 19mm x 3/4" male, 24mm collar, inside hose protection spring</t>
        </is>
      </c>
      <c r="C208" s="25" t="n">
        <v>33.26</v>
      </c>
    </row>
    <row r="209">
      <c r="A209" s="24" t="inlineStr">
        <is>
          <t>SWIFB19-C24-SP</t>
        </is>
      </c>
      <c r="B209" s="24" t="inlineStr">
        <is>
          <t>St.st. full bore swivelling hose tail, 19mm x 1/2" male, 24mm collar, inside hose protection spring</t>
        </is>
      </c>
      <c r="C209" s="25" t="n">
        <v>25.35368</v>
      </c>
      <c r="D209" s="25" t="n">
        <v>22.18447</v>
      </c>
      <c r="E209" s="25" t="n">
        <v>20.599865</v>
      </c>
    </row>
    <row r="210"/>
    <row r="211">
      <c r="A211" s="24" t="inlineStr">
        <is>
          <t>Hose tails</t>
        </is>
      </c>
    </row>
    <row r="212"/>
    <row r="213">
      <c r="A213" s="24" t="inlineStr">
        <is>
          <t>Product code</t>
        </is>
      </c>
      <c r="B213" s="24" t="inlineStr">
        <is>
          <t>Description</t>
        </is>
      </c>
      <c r="C213" s="24" t="inlineStr">
        <is>
          <t>Price p/pc in Euro</t>
        </is>
      </c>
    </row>
    <row r="214">
      <c r="C214" s="24" t="inlineStr">
        <is>
          <t>&lt; 10 pcs</t>
        </is>
      </c>
      <c r="D214" s="24" t="inlineStr">
        <is>
          <t>≥ 10 pcs</t>
        </is>
      </c>
      <c r="E214" s="24" t="inlineStr">
        <is>
          <t>≥ 50 pcs</t>
        </is>
      </c>
    </row>
    <row r="215">
      <c r="A215" s="24" t="inlineStr">
        <is>
          <t>Brass</t>
        </is>
      </c>
      <c r="D215" s="25" t="n">
        <v>0.2</v>
      </c>
      <c r="E215" s="25" t="n">
        <v>0.3</v>
      </c>
    </row>
    <row r="216"/>
    <row r="217">
      <c r="A217" s="24" t="inlineStr">
        <is>
          <t>MESS013</t>
        </is>
      </c>
      <c r="B217" s="24" t="inlineStr">
        <is>
          <t>Brass hose tail, 1/2" male x 13mm</t>
        </is>
      </c>
      <c r="C217" s="25" t="n">
        <v>2.076272</v>
      </c>
      <c r="D217" s="25" t="n">
        <v>1.816738</v>
      </c>
      <c r="E217" s="25" t="n">
        <v>1.686971</v>
      </c>
    </row>
    <row r="218">
      <c r="A218" s="24" t="inlineStr">
        <is>
          <t>MESS019</t>
        </is>
      </c>
      <c r="B218" s="24" t="inlineStr">
        <is>
          <t>Brass hose tail, 1/2" male x 19mm</t>
        </is>
      </c>
      <c r="C218" s="25" t="n">
        <v>2.142448</v>
      </c>
      <c r="D218" s="25" t="n">
        <v>1.874642</v>
      </c>
      <c r="E218" s="25" t="n">
        <v>1.740739</v>
      </c>
    </row>
    <row r="219">
      <c r="A219" s="24" t="inlineStr">
        <is>
          <t>MESS025</t>
        </is>
      </c>
      <c r="B219" s="24" t="inlineStr">
        <is>
          <t>Brass hose tail, 1/2" male x 25mm</t>
        </is>
      </c>
      <c r="C219" s="25" t="n">
        <v>7.750864</v>
      </c>
      <c r="D219" s="25" t="n">
        <v>6.782006</v>
      </c>
      <c r="E219" s="25" t="n">
        <v>6.297577</v>
      </c>
    </row>
    <row r="220"/>
    <row r="221">
      <c r="A221" s="24" t="inlineStr">
        <is>
          <t>Chrome plated brass</t>
        </is>
      </c>
    </row>
    <row r="222"/>
    <row r="223">
      <c r="A223" s="24" t="inlineStr">
        <is>
          <t>MESC013</t>
        </is>
      </c>
      <c r="B223" s="24" t="inlineStr">
        <is>
          <t>Chrome plated brass hose tail, 1/2" BSP male with O-ring x 13mm</t>
        </is>
      </c>
      <c r="C223" s="25" t="n">
        <v>3.747216</v>
      </c>
      <c r="D223" s="25" t="n">
        <v>3.278814000000001</v>
      </c>
      <c r="E223" s="25" t="n">
        <v>3.044613</v>
      </c>
    </row>
    <row r="224">
      <c r="A224" s="24" t="inlineStr">
        <is>
          <t>MESC016</t>
        </is>
      </c>
      <c r="B224" s="24" t="inlineStr">
        <is>
          <t>Chrome plated brass hose tail, 1/2" BSP male with O-ring x 16mm</t>
        </is>
      </c>
      <c r="C224" s="25" t="n">
        <v>4.152544</v>
      </c>
      <c r="D224" s="25" t="n">
        <v>3.633476</v>
      </c>
      <c r="E224" s="25" t="n">
        <v>3.373942</v>
      </c>
    </row>
    <row r="225">
      <c r="A225" s="24" t="inlineStr">
        <is>
          <t>MESC019</t>
        </is>
      </c>
      <c r="B225" s="24" t="inlineStr">
        <is>
          <t>Chrome plated brass hose tail, 1/2" BSP male with O-ring x 19mm</t>
        </is>
      </c>
      <c r="C225" s="25" t="n">
        <v>4.309712</v>
      </c>
      <c r="D225" s="25" t="n">
        <v>3.770998000000001</v>
      </c>
      <c r="E225" s="25" t="n">
        <v>3.501641</v>
      </c>
    </row>
    <row r="226"/>
    <row r="227"/>
    <row r="228">
      <c r="A228" s="24" t="inlineStr">
        <is>
          <t>Stainless steel</t>
        </is>
      </c>
    </row>
    <row r="229"/>
    <row r="230">
      <c r="A230" s="24" t="inlineStr">
        <is>
          <t>RVST013-C17</t>
        </is>
      </c>
      <c r="B230" s="24" t="inlineStr">
        <is>
          <t>St.st. hose tail, 1/2" male x 13mm, 17mm collar</t>
        </is>
      </c>
      <c r="C230" s="25" t="n">
        <v>7.692960000000001</v>
      </c>
      <c r="D230" s="25" t="n">
        <v>6.731340000000001</v>
      </c>
      <c r="E230" s="25" t="n">
        <v>6.250530000000001</v>
      </c>
    </row>
    <row r="231">
      <c r="A231" s="24" t="inlineStr">
        <is>
          <t>RVST013-C17-SP</t>
        </is>
      </c>
      <c r="B231" s="24" t="inlineStr">
        <is>
          <t>St.st. hose tail, 1/2" male x 13mm, 17mm collar, inside hose protection spring</t>
        </is>
      </c>
      <c r="C231" s="25" t="n">
        <v>13.946592</v>
      </c>
      <c r="D231" s="25" t="n">
        <v>12.203268</v>
      </c>
      <c r="E231" s="25" t="n">
        <v>11.331606</v>
      </c>
    </row>
    <row r="232">
      <c r="A232" s="24" t="inlineStr">
        <is>
          <t>RVST013-C20</t>
        </is>
      </c>
      <c r="B232" s="24" t="inlineStr">
        <is>
          <t>St.st. hose tail, 1/2" male x 13mm, 20mm collar</t>
        </is>
      </c>
      <c r="C232" s="25" t="n">
        <v>7.692960000000001</v>
      </c>
      <c r="D232" s="25" t="n">
        <v>6.731340000000001</v>
      </c>
      <c r="E232" s="25" t="n">
        <v>6.250530000000001</v>
      </c>
    </row>
    <row r="233">
      <c r="A233" s="24" t="inlineStr">
        <is>
          <t>RVST013-C20-12F</t>
        </is>
      </c>
      <c r="B233" s="24" t="inlineStr">
        <is>
          <t>St.st. hose tail, 1/2" female x 13mm, 20mm collar</t>
        </is>
      </c>
      <c r="C233" s="25" t="n">
        <v>7.692960000000001</v>
      </c>
      <c r="D233" s="25" t="n">
        <v>6.731340000000001</v>
      </c>
      <c r="E233" s="25" t="n">
        <v>6.250530000000001</v>
      </c>
    </row>
    <row r="234">
      <c r="A234" s="24" t="inlineStr">
        <is>
          <t>RVST013-C20-34F</t>
        </is>
      </c>
      <c r="B234" s="24" t="inlineStr">
        <is>
          <t>St.st. hose tail, 3/4" female x 13mm, 20mm collar</t>
        </is>
      </c>
      <c r="C234" s="25" t="n">
        <v>7.692960000000001</v>
      </c>
      <c r="D234" s="25" t="n">
        <v>6.731340000000001</v>
      </c>
      <c r="E234" s="25" t="n">
        <v>6.250530000000001</v>
      </c>
    </row>
    <row r="235">
      <c r="A235" s="24" t="inlineStr">
        <is>
          <t>RVST013-C20-SP</t>
        </is>
      </c>
      <c r="B235" s="24" t="inlineStr">
        <is>
          <t>St.st. hose tail, 1/2" male x 13mm, 20mm collar, inside hose protection spring</t>
        </is>
      </c>
      <c r="C235" s="25" t="n">
        <v>13.946592</v>
      </c>
      <c r="D235" s="25" t="n">
        <v>12.203268</v>
      </c>
      <c r="E235" s="25" t="n">
        <v>11.331606</v>
      </c>
    </row>
    <row r="236">
      <c r="A236" s="24" t="inlineStr">
        <is>
          <t>RVST016-C21</t>
        </is>
      </c>
      <c r="B236" s="24" t="inlineStr">
        <is>
          <t>St.st. hose tail, 1/2" male x 16mm, 21mm collar</t>
        </is>
      </c>
      <c r="C236" s="25" t="n">
        <v>7.692960000000001</v>
      </c>
      <c r="D236" s="25" t="n">
        <v>6.731340000000001</v>
      </c>
      <c r="E236" s="25" t="n">
        <v>6.250530000000001</v>
      </c>
    </row>
    <row r="237">
      <c r="A237" s="24" t="inlineStr">
        <is>
          <t>RVST016-C21-SP</t>
        </is>
      </c>
      <c r="B237" s="24" t="inlineStr">
        <is>
          <t>St.st. hose tail, 1/2" male x 16mm, 21mm collar, inside hose protection spring</t>
        </is>
      </c>
      <c r="C237" s="25" t="n">
        <v>13.946592</v>
      </c>
      <c r="D237" s="25" t="n">
        <v>12.203268</v>
      </c>
      <c r="E237" s="25" t="n">
        <v>11.331606</v>
      </c>
    </row>
    <row r="238">
      <c r="A238" s="24" t="inlineStr">
        <is>
          <t>RVST019-C24</t>
        </is>
      </c>
      <c r="B238" s="24" t="inlineStr">
        <is>
          <t>St.st. hose tail, 1/2" male x 19mm, 24mm collar</t>
        </is>
      </c>
      <c r="C238" s="25" t="n">
        <v>8.114832000000002</v>
      </c>
      <c r="D238" s="25" t="n">
        <v>7.100478000000001</v>
      </c>
      <c r="E238" s="25" t="n">
        <v>6.593301000000001</v>
      </c>
    </row>
    <row r="239">
      <c r="A239" s="24" t="inlineStr">
        <is>
          <t>RVST019-C24-SP</t>
        </is>
      </c>
      <c r="B239" s="24" t="inlineStr">
        <is>
          <t>St.st. hose tail, 1/2" male x 19mm, 24mm collar, inside hose protection spring</t>
        </is>
      </c>
      <c r="C239" s="25" t="n">
        <v>13.946592</v>
      </c>
      <c r="D239" s="25" t="n">
        <v>12.203268</v>
      </c>
      <c r="E239" s="25" t="n">
        <v>11.331606</v>
      </c>
    </row>
    <row r="240">
      <c r="A240" s="24" t="inlineStr">
        <is>
          <t>RVST025</t>
        </is>
      </c>
      <c r="B240" s="24" t="inlineStr">
        <is>
          <t>St.st. hose tail, 1/2" male x 25mm</t>
        </is>
      </c>
      <c r="C240" s="25" t="n">
        <v>14.815152</v>
      </c>
      <c r="D240" s="25" t="n">
        <v>12.963258</v>
      </c>
      <c r="E240" s="25" t="n">
        <v>12.037311</v>
      </c>
    </row>
    <row r="241"/>
    <row r="242">
      <c r="A242" s="24" t="inlineStr">
        <is>
          <t>Product code</t>
        </is>
      </c>
      <c r="B242" s="24" t="inlineStr">
        <is>
          <t>Description</t>
        </is>
      </c>
      <c r="C242" s="24" t="inlineStr">
        <is>
          <t>Price p/pc in Euro</t>
        </is>
      </c>
    </row>
    <row r="243">
      <c r="C243" s="24" t="inlineStr">
        <is>
          <t>&lt; 10 pcs</t>
        </is>
      </c>
      <c r="D243" s="24" t="inlineStr">
        <is>
          <t>≥ 10 pcs</t>
        </is>
      </c>
      <c r="E243" s="24" t="inlineStr">
        <is>
          <t>≥ 50 pcs</t>
        </is>
      </c>
    </row>
    <row r="244">
      <c r="D244" s="25" t="n">
        <v>0.2</v>
      </c>
      <c r="E244" s="25" t="n">
        <v>0.3</v>
      </c>
    </row>
    <row r="245">
      <c r="A245" s="24" t="inlineStr">
        <is>
          <t>RVSW13C17-12C</t>
        </is>
      </c>
      <c r="B245" s="24" t="inlineStr">
        <is>
          <t>St.st. hose tail 13mm x 1/2" BSP female screw cap with conical seal, 17mm collar</t>
        </is>
      </c>
      <c r="C245" s="25" t="n">
        <v>17.43324</v>
      </c>
      <c r="D245" s="25" t="n">
        <v>13.946592</v>
      </c>
      <c r="E245" s="25" t="n">
        <v>12.203268</v>
      </c>
    </row>
    <row r="246">
      <c r="A246" s="24" t="inlineStr">
        <is>
          <t>RVSW13C17-34F</t>
        </is>
      </c>
      <c r="B246" s="24" t="inlineStr">
        <is>
          <t>St.st. hose tail 13mm x 3/4" BSP female screw cap with flat seal, 17mm collar</t>
        </is>
      </c>
      <c r="C246" s="25" t="n">
        <v>17.43324</v>
      </c>
      <c r="D246" s="25" t="n">
        <v>13.946592</v>
      </c>
      <c r="E246" s="25" t="n">
        <v>12.203268</v>
      </c>
    </row>
    <row r="247">
      <c r="A247" s="24" t="inlineStr">
        <is>
          <t>RVSW13C20-12C</t>
        </is>
      </c>
      <c r="B247" s="24" t="inlineStr">
        <is>
          <t>St.st. hose tail 13mm x 1/2" BSP female screw cap with conical seal, 20mm collar</t>
        </is>
      </c>
      <c r="C247" s="25" t="n">
        <v>17.43324</v>
      </c>
      <c r="D247" s="25" t="n">
        <v>13.946592</v>
      </c>
      <c r="E247" s="25" t="n">
        <v>12.203268</v>
      </c>
    </row>
    <row r="248">
      <c r="A248" s="24" t="inlineStr">
        <is>
          <t>RVSW13C20-12F</t>
        </is>
      </c>
      <c r="B248" s="24" t="inlineStr">
        <is>
          <t>St.st. hose tail 13mm x 1/2" BSP female screw cap with flat seal, 20mm collar</t>
        </is>
      </c>
      <c r="C248" s="25" t="n">
        <v>17.43324</v>
      </c>
      <c r="D248" s="25" t="n">
        <v>13.946592</v>
      </c>
      <c r="E248" s="25" t="n">
        <v>12.203268</v>
      </c>
    </row>
    <row r="249">
      <c r="A249" s="24" t="inlineStr">
        <is>
          <t>RVSW13C20-12FS</t>
        </is>
      </c>
      <c r="B249" s="24" t="inlineStr">
        <is>
          <t>St.st. hose tail 13mm x 1/2" BSP female screw cap with flat seal, 20mm collar and spring</t>
        </is>
      </c>
      <c r="C249" s="25" t="n">
        <v>24.68158</v>
      </c>
      <c r="D249" s="25" t="n">
        <v>19.745264</v>
      </c>
      <c r="E249" s="25" t="n">
        <v>17.277106</v>
      </c>
    </row>
    <row r="250">
      <c r="A250" s="24" t="inlineStr">
        <is>
          <t>RVSW13C20-34F</t>
        </is>
      </c>
      <c r="B250" s="24" t="inlineStr">
        <is>
          <t>St.st. hose tail 13mm x 3/4" BSP female screw cap with flat seal, 20mm collar</t>
        </is>
      </c>
      <c r="C250" s="25" t="n">
        <v>17.43324</v>
      </c>
      <c r="D250" s="25" t="n">
        <v>13.946592</v>
      </c>
      <c r="E250" s="25" t="n">
        <v>12.203268</v>
      </c>
    </row>
    <row r="251">
      <c r="A251" s="24" t="inlineStr">
        <is>
          <t>RVSW16C21-12C</t>
        </is>
      </c>
      <c r="B251" s="24" t="inlineStr">
        <is>
          <t>St.st. hose tail 16mm x 1/2" BSP female screw cap with conical seal, 21mm collar</t>
        </is>
      </c>
      <c r="C251" s="25" t="n">
        <v>21.02122</v>
      </c>
      <c r="D251" s="25" t="n">
        <v>16.816976</v>
      </c>
      <c r="E251" s="25" t="n">
        <v>14.714854</v>
      </c>
    </row>
    <row r="252">
      <c r="A252" s="24" t="inlineStr">
        <is>
          <t>RVSW16C21-12CS</t>
        </is>
      </c>
      <c r="B252" s="24" t="inlineStr">
        <is>
          <t>St.st. hose tail 16mm x 1/2" BSP female screw cap with conical seal, 21mm collar and spring</t>
        </is>
      </c>
      <c r="C252" s="25" t="n">
        <v>25.61218</v>
      </c>
      <c r="D252" s="25" t="n">
        <v>20.489744</v>
      </c>
      <c r="E252" s="25" t="n">
        <v>17.928526</v>
      </c>
    </row>
    <row r="253">
      <c r="A253" s="24" t="inlineStr">
        <is>
          <t>RVSW16C21-12F</t>
        </is>
      </c>
      <c r="B253" s="24" t="inlineStr">
        <is>
          <t>St.st. hose tail 16mm x 1/2" BSP female screw cap with flat seal, 21mm collar</t>
        </is>
      </c>
      <c r="C253" s="25" t="n">
        <v>25.39504</v>
      </c>
      <c r="D253" s="25" t="n">
        <v>20.316032</v>
      </c>
      <c r="E253" s="25" t="n">
        <v>17.776528</v>
      </c>
    </row>
    <row r="254">
      <c r="A254" s="24" t="inlineStr">
        <is>
          <t>RVSW16C21-34F</t>
        </is>
      </c>
      <c r="B254" s="24" t="inlineStr">
        <is>
          <t>St.st. hose tail 16mm x 3/4" BSP female screw cap with flat seal, 21mm collar</t>
        </is>
      </c>
      <c r="C254" s="25" t="n">
        <v>25.39504</v>
      </c>
      <c r="D254" s="25" t="n">
        <v>20.316032</v>
      </c>
      <c r="E254" s="25" t="n">
        <v>17.776528</v>
      </c>
    </row>
    <row r="255">
      <c r="A255" s="24" t="inlineStr">
        <is>
          <t>RVSW19C24-34C</t>
        </is>
      </c>
      <c r="B255" s="24" t="inlineStr">
        <is>
          <t>St.st. hose tail 19mm x 3/4" BSP female screw cap with conical seal, 24mm collar</t>
        </is>
      </c>
      <c r="C255" s="25" t="n">
        <v>25.61218</v>
      </c>
      <c r="D255" s="25" t="n">
        <v>20.489744</v>
      </c>
      <c r="E255" s="25" t="n">
        <v>17.928526</v>
      </c>
    </row>
    <row r="256">
      <c r="A256" s="24" t="inlineStr">
        <is>
          <t>RVSW19C24-34F</t>
        </is>
      </c>
      <c r="B256" s="24" t="inlineStr">
        <is>
          <t>St.st. hose tail 19mm x 3/4" BSP female screw cap with flat seal, 24mm collar</t>
        </is>
      </c>
      <c r="C256" s="25" t="n">
        <v>26.4704</v>
      </c>
      <c r="D256" s="25" t="n">
        <v>21.17632</v>
      </c>
      <c r="E256" s="25" t="n">
        <v>18.52928</v>
      </c>
    </row>
    <row r="257">
      <c r="A257" s="24" t="inlineStr">
        <is>
          <t>RVSW19C24-1C</t>
        </is>
      </c>
      <c r="B257" s="24" t="inlineStr">
        <is>
          <t>St.st. hose tail 19mm x 1" BSP female screw cap with conical seal, 24mm collar</t>
        </is>
      </c>
      <c r="C257" s="25" t="n">
        <v>30.99932</v>
      </c>
      <c r="D257" s="25" t="n">
        <v>24.799456</v>
      </c>
      <c r="E257" s="25" t="n">
        <v>21.699524</v>
      </c>
    </row>
    <row r="258">
      <c r="A258" s="24" t="inlineStr">
        <is>
          <t>RVSW19C24-1F</t>
        </is>
      </c>
      <c r="B258" s="24" t="inlineStr">
        <is>
          <t>St.st. hose tail 19mm x 1" BSP female screw cap with flat seal, 24mm collar</t>
        </is>
      </c>
      <c r="C258" s="25" t="n">
        <v>32.1057</v>
      </c>
      <c r="D258" s="25" t="n">
        <v>25.68456</v>
      </c>
      <c r="E258" s="25" t="n">
        <v>22.47399</v>
      </c>
    </row>
    <row r="259">
      <c r="A259" s="24" t="inlineStr">
        <is>
          <t>RVSW25C36-1C</t>
        </is>
      </c>
      <c r="B259" s="24" t="inlineStr">
        <is>
          <t>St.st. hose tail 25mm x 1" BSP female screw cap with conical seal, 36mm collar</t>
        </is>
      </c>
      <c r="C259" s="25" t="n">
        <v>35.70402</v>
      </c>
      <c r="D259" s="25" t="n">
        <v>28.563216</v>
      </c>
      <c r="E259" s="25" t="n">
        <v>24.992814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2026-10-01T08:51:11Z</dcterms:created>
  <dcterms:modified xsi:type="dcterms:W3CDTF">2026-10-01T08:51:11Z</dcterms:modified>
</cp:coreProperties>
</file>