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Print_Area" localSheetId="0">'Quote'!$A$1:$F$59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 mmm yyyy"/>
    <numFmt numFmtId="165" formatCode="#,##0.00;(#,##0.00);&quot;&quot;"/>
    <numFmt numFmtId="166" formatCode="&quot;NZD&quot;#,##0.00"/>
  </numFmts>
  <fonts count="13">
    <font>
      <name val="Calibri"/>
      <family val="2"/>
      <color theme="1"/>
      <sz val="11"/>
      <scheme val="minor"/>
    </font>
    <font>
      <name val="Calibri"/>
      <b val="1"/>
      <color rgb="00404040"/>
      <sz val="10"/>
    </font>
    <font>
      <name val="Calibri"/>
      <color rgb="00666666"/>
      <sz val="9"/>
    </font>
    <font>
      <name val="Calibri"/>
      <color rgb="000000FF"/>
      <sz val="9"/>
    </font>
    <font>
      <name val="Calibri"/>
      <color rgb="007F7F7F"/>
      <sz val="8"/>
    </font>
    <font>
      <name val="Calibri"/>
      <b val="1"/>
      <color rgb="00666666"/>
      <sz val="7"/>
    </font>
    <font>
      <name val="Calibri"/>
      <b val="1"/>
      <color rgb="00666666"/>
      <sz val="18"/>
    </font>
    <font>
      <name val="Calibri"/>
      <b val="1"/>
      <color rgb="00666666"/>
      <sz val="11"/>
    </font>
    <font>
      <name val="Calibri"/>
      <color rgb="00404040"/>
      <sz val="10"/>
    </font>
    <font>
      <name val="Calibri"/>
      <b val="1"/>
      <color rgb="00FFFFFF"/>
      <sz val="9"/>
    </font>
    <font>
      <name val="Calibri"/>
      <color rgb="00404040"/>
      <sz val="9"/>
    </font>
    <font>
      <name val="Calibri"/>
      <b val="1"/>
      <color rgb="00404040"/>
      <sz val="9"/>
    </font>
    <font>
      <name val="Calibri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2">
    <border>
      <left/>
      <right/>
      <top/>
      <bottom/>
      <diagonal/>
    </border>
    <border>
      <top style="thin">
        <color rgb="00CCCCCC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165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border>
        <top style="thin">
          <color rgb="00CCCCCC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Template</author>
  </authors>
  <commentList>
    <comment ref="I2" authorId="0" shapeId="0">
      <text>
        <t>NZ GST 15% (Inland Revenue).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00250" cy="25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42" customWidth="1" min="2" max="2"/>
    <col width="8" customWidth="1" min="3" max="3"/>
    <col width="14" customWidth="1" min="4" max="4"/>
    <col width="14" customWidth="1" min="5" max="5"/>
    <col width="13" customWidth="1" min="6" max="6"/>
    <col width="4" customWidth="1" min="7" max="7"/>
    <col width="16" customWidth="1" min="8" max="8"/>
    <col width="12" customWidth="1" min="9" max="9"/>
  </cols>
  <sheetData>
    <row r="1" ht="26" customHeight="1">
      <c r="D1" s="1" t="inlineStr">
        <is>
          <t>Quotation</t>
        </is>
      </c>
      <c r="H1" s="2" t="inlineStr">
        <is>
          <t>Settings</t>
        </is>
      </c>
    </row>
    <row r="2">
      <c r="A2" s="3" t="inlineStr">
        <is>
          <t>GST 144-375-106</t>
        </is>
      </c>
      <c r="D2" s="4">
        <f>"# "&amp;F3</f>
        <v/>
      </c>
      <c r="H2" s="5" t="inlineStr">
        <is>
          <t>GST rate</t>
        </is>
      </c>
      <c r="I2" s="6" t="n">
        <v>0.15</v>
      </c>
    </row>
    <row r="3">
      <c r="A3" s="3" t="inlineStr">
        <is>
          <t>info@nozzleworks.co.nz</t>
        </is>
      </c>
      <c r="E3" s="7" t="inlineStr">
        <is>
          <t>Quote No :</t>
        </is>
      </c>
      <c r="F3" s="7" t="inlineStr">
        <is>
          <t>QT-26040</t>
        </is>
      </c>
      <c r="H3" s="5" t="inlineStr">
        <is>
          <t>Validity (days)</t>
        </is>
      </c>
      <c r="I3" s="8" t="n">
        <v>30</v>
      </c>
    </row>
    <row r="4">
      <c r="A4" s="3" t="inlineStr">
        <is>
          <t>nozzleworks.co.nz</t>
        </is>
      </c>
      <c r="E4" s="7" t="inlineStr">
        <is>
          <t>Quote Date :</t>
        </is>
      </c>
      <c r="F4" s="9" t="n">
        <v>46300</v>
      </c>
    </row>
    <row r="5">
      <c r="E5" s="7" t="inlineStr">
        <is>
          <t>Expiry Date :</t>
        </is>
      </c>
      <c r="F5" s="9">
        <f>F4+$I$3</f>
        <v/>
      </c>
      <c r="H5" s="10" t="inlineStr">
        <is>
          <t>Edit: quote no., quote date, customer,</t>
        </is>
      </c>
    </row>
    <row r="6">
      <c r="H6" s="10" t="inlineStr">
        <is>
          <t>subject, part no., description, qty,</t>
        </is>
      </c>
    </row>
    <row r="7">
      <c r="A7" s="2" t="inlineStr">
        <is>
          <t>Steve Curtis</t>
        </is>
      </c>
      <c r="H7" s="10" t="inlineStr">
        <is>
          <t>UoM, unit price, notes and terms.</t>
        </is>
      </c>
    </row>
    <row r="8">
      <c r="A8" s="5" t="n"/>
      <c r="H8" s="10" t="inlineStr">
        <is>
          <t>#, sub-totals, GST, total and expiry</t>
        </is>
      </c>
    </row>
    <row r="9">
      <c r="A9" s="5" t="inlineStr">
        <is>
          <t>Nelson Pine Industries</t>
        </is>
      </c>
      <c r="H9" s="10" t="inlineStr">
        <is>
          <t>date are formulas - don't type over.</t>
        </is>
      </c>
    </row>
    <row r="10">
      <c r="H10" s="10" t="inlineStr">
        <is>
          <t>Hide unused item rows before printing.</t>
        </is>
      </c>
    </row>
    <row r="11">
      <c r="A11" s="5" t="inlineStr">
        <is>
          <t>Subject :</t>
        </is>
      </c>
    </row>
    <row r="12">
      <c r="A12" s="11" t="inlineStr">
        <is>
          <t>Quotation for 1/4M-TF-BF-A5052 and 1/4M-TF-BF-ABS</t>
        </is>
      </c>
    </row>
    <row r="13" ht="18" customHeight="1">
      <c r="A13" s="12" t="inlineStr">
        <is>
          <t>#</t>
        </is>
      </c>
      <c r="B13" s="12" t="inlineStr">
        <is>
          <t>Part No. &amp; Description</t>
        </is>
      </c>
      <c r="C13" s="13" t="inlineStr">
        <is>
          <t>Qty</t>
        </is>
      </c>
      <c r="D13" s="12" t="inlineStr">
        <is>
          <t>UoM</t>
        </is>
      </c>
      <c r="E13" s="13" t="inlineStr">
        <is>
          <t>Unit Price</t>
        </is>
      </c>
      <c r="F13" s="13" t="inlineStr">
        <is>
          <t>Sub-Total</t>
        </is>
      </c>
    </row>
    <row r="14">
      <c r="A14" s="14">
        <f>IF(OR(B14&lt;&gt;"",C14&lt;&gt;""),1,"")</f>
        <v/>
      </c>
      <c r="B14" s="15" t="inlineStr">
        <is>
          <t>1/4M-TF-BF-A5052</t>
        </is>
      </c>
      <c r="C14" s="16" t="n">
        <v>1</v>
      </c>
      <c r="D14" s="5" t="inlineStr">
        <is>
          <t>pcs</t>
        </is>
      </c>
      <c r="E14" s="17" t="n">
        <v>728</v>
      </c>
      <c r="F14" s="17">
        <f>IF(OR(C14="",E14=""),"",C14*E14)</f>
        <v/>
      </c>
    </row>
    <row r="15">
      <c r="B15" s="18" t="n"/>
    </row>
    <row r="16" ht="6" customHeight="1"/>
    <row r="17">
      <c r="A17" s="14">
        <f>IF(OR(B17&lt;&gt;"",C17&lt;&gt;""),2,"")</f>
        <v/>
      </c>
      <c r="B17" s="15" t="inlineStr">
        <is>
          <t>1/4M-TF-BF-ABS</t>
        </is>
      </c>
      <c r="C17" s="16" t="n">
        <v>1</v>
      </c>
      <c r="D17" s="5" t="inlineStr">
        <is>
          <t>pcs</t>
        </is>
      </c>
      <c r="E17" s="17" t="n">
        <v>503</v>
      </c>
      <c r="F17" s="17">
        <f>IF(OR(C17="",E17=""),"",C17*E17)</f>
        <v/>
      </c>
    </row>
    <row r="18">
      <c r="B18" s="18" t="n"/>
    </row>
    <row r="19" ht="6" customHeight="1"/>
    <row r="20" hidden="1">
      <c r="A20" s="14">
        <f>IF(OR(B20&lt;&gt;"",C20&lt;&gt;""),3,"")</f>
        <v/>
      </c>
      <c r="B20" s="15" t="n"/>
      <c r="C20" s="16" t="n"/>
      <c r="D20" s="5" t="n"/>
      <c r="E20" s="17" t="n"/>
      <c r="F20" s="17">
        <f>IF(OR(C20="",E20=""),"",C20*E20)</f>
        <v/>
      </c>
    </row>
    <row r="21" hidden="1">
      <c r="B21" s="18" t="n"/>
    </row>
    <row r="22" hidden="1" ht="6" customHeight="1"/>
    <row r="23" hidden="1">
      <c r="A23" s="14">
        <f>IF(OR(B23&lt;&gt;"",C23&lt;&gt;""),4,"")</f>
        <v/>
      </c>
      <c r="B23" s="15" t="n"/>
      <c r="C23" s="16" t="n"/>
      <c r="D23" s="5" t="n"/>
      <c r="E23" s="17" t="n"/>
      <c r="F23" s="17">
        <f>IF(OR(C23="",E23=""),"",C23*E23)</f>
        <v/>
      </c>
    </row>
    <row r="24" hidden="1">
      <c r="B24" s="18" t="n"/>
    </row>
    <row r="25" hidden="1" ht="6" customHeight="1"/>
    <row r="26" hidden="1">
      <c r="A26" s="14">
        <f>IF(OR(B26&lt;&gt;"",C26&lt;&gt;""),5,"")</f>
        <v/>
      </c>
      <c r="B26" s="15" t="n"/>
      <c r="C26" s="16" t="n"/>
      <c r="D26" s="5" t="n"/>
      <c r="E26" s="17" t="n"/>
      <c r="F26" s="17">
        <f>IF(OR(C26="",E26=""),"",C26*E26)</f>
        <v/>
      </c>
    </row>
    <row r="27" hidden="1">
      <c r="B27" s="18" t="n"/>
    </row>
    <row r="28" hidden="1" ht="6" customHeight="1"/>
    <row r="29" hidden="1">
      <c r="A29" s="14">
        <f>IF(OR(B29&lt;&gt;"",C29&lt;&gt;""),6,"")</f>
        <v/>
      </c>
      <c r="B29" s="15" t="n"/>
      <c r="C29" s="16" t="n"/>
      <c r="D29" s="5" t="n"/>
      <c r="E29" s="17" t="n"/>
      <c r="F29" s="17">
        <f>IF(OR(C29="",E29=""),"",C29*E29)</f>
        <v/>
      </c>
    </row>
    <row r="30" hidden="1">
      <c r="B30" s="18" t="n"/>
    </row>
    <row r="31" hidden="1" ht="6" customHeight="1"/>
    <row r="32" hidden="1">
      <c r="A32" s="14">
        <f>IF(OR(B32&lt;&gt;"",C32&lt;&gt;""),7,"")</f>
        <v/>
      </c>
      <c r="B32" s="15" t="n"/>
      <c r="C32" s="16" t="n"/>
      <c r="D32" s="5" t="n"/>
      <c r="E32" s="17" t="n"/>
      <c r="F32" s="17">
        <f>IF(OR(C32="",E32=""),"",C32*E32)</f>
        <v/>
      </c>
    </row>
    <row r="33" hidden="1">
      <c r="B33" s="18" t="n"/>
    </row>
    <row r="34" hidden="1" ht="6" customHeight="1"/>
    <row r="35" hidden="1">
      <c r="A35" s="14">
        <f>IF(OR(B35&lt;&gt;"",C35&lt;&gt;""),8,"")</f>
        <v/>
      </c>
      <c r="B35" s="15" t="n"/>
      <c r="C35" s="16" t="n"/>
      <c r="D35" s="5" t="n"/>
      <c r="E35" s="17" t="n"/>
      <c r="F35" s="17">
        <f>IF(OR(C35="",E35=""),"",C35*E35)</f>
        <v/>
      </c>
    </row>
    <row r="36" hidden="1">
      <c r="B36" s="18" t="n"/>
    </row>
    <row r="37" hidden="1" ht="6" customHeight="1"/>
    <row r="38" hidden="1">
      <c r="A38" s="14">
        <f>IF(OR(B38&lt;&gt;"",C38&lt;&gt;""),9,"")</f>
        <v/>
      </c>
      <c r="B38" s="15" t="n"/>
      <c r="C38" s="16" t="n"/>
      <c r="D38" s="5" t="n"/>
      <c r="E38" s="17" t="n"/>
      <c r="F38" s="17">
        <f>IF(OR(C38="",E38=""),"",C38*E38)</f>
        <v/>
      </c>
    </row>
    <row r="39" hidden="1">
      <c r="B39" s="18" t="n"/>
    </row>
    <row r="40" hidden="1" ht="6" customHeight="1"/>
    <row r="41" hidden="1">
      <c r="A41" s="14">
        <f>IF(OR(B41&lt;&gt;"",C41&lt;&gt;""),10,"")</f>
        <v/>
      </c>
      <c r="B41" s="15" t="n"/>
      <c r="C41" s="16" t="n"/>
      <c r="D41" s="5" t="n"/>
      <c r="E41" s="17" t="n"/>
      <c r="F41" s="17">
        <f>IF(OR(C41="",E41=""),"",C41*E41)</f>
        <v/>
      </c>
    </row>
    <row r="42" hidden="1">
      <c r="B42" s="18" t="n"/>
    </row>
    <row r="43" hidden="1"/>
    <row r="44" ht="6" customHeight="1">
      <c r="A44" s="19" t="n"/>
      <c r="B44" s="19" t="n"/>
      <c r="C44" s="19" t="n"/>
      <c r="D44" s="19" t="n"/>
      <c r="E44" s="19" t="n"/>
      <c r="F44" s="19" t="n"/>
    </row>
    <row r="45">
      <c r="E45" s="7" t="inlineStr">
        <is>
          <t>Sub Total</t>
        </is>
      </c>
      <c r="F45" s="20">
        <f>SUM(F14:F42)</f>
        <v/>
      </c>
    </row>
    <row r="46">
      <c r="E46" s="7">
        <f>"GST ("&amp;TEXT($I$2,"0%")&amp;")"</f>
        <v/>
      </c>
      <c r="F46" s="20">
        <f>ROUND(F45*$I$2,2)</f>
        <v/>
      </c>
    </row>
    <row r="47" ht="6" customHeight="1">
      <c r="D47" s="19" t="n"/>
      <c r="E47" s="19" t="n"/>
      <c r="F47" s="19" t="n"/>
    </row>
    <row r="48">
      <c r="E48" s="21" t="inlineStr">
        <is>
          <t>Total</t>
        </is>
      </c>
      <c r="F48" s="22">
        <f>F45+F46</f>
        <v/>
      </c>
    </row>
    <row r="50">
      <c r="A50" s="23" t="inlineStr">
        <is>
          <t>Notes</t>
        </is>
      </c>
    </row>
    <row r="51">
      <c r="A51" s="5" t="inlineStr">
        <is>
          <t>Delivery: approx. 3-4 weeks</t>
        </is>
      </c>
    </row>
    <row r="52">
      <c r="A52" s="5" t="inlineStr">
        <is>
          <t>Shipping terms: ex-works.</t>
        </is>
      </c>
    </row>
    <row r="53">
      <c r="A53" s="5" t="inlineStr">
        <is>
          <t>Prices are GST exclusive.</t>
        </is>
      </c>
    </row>
    <row r="54">
      <c r="A54" s="5" t="inlineStr">
        <is>
          <t>Order by emailing to Info@NozzleWorks.co.nz.</t>
        </is>
      </c>
    </row>
    <row r="56">
      <c r="A56" s="23" t="inlineStr">
        <is>
          <t>Terms &amp; Conditions</t>
        </is>
      </c>
    </row>
    <row r="57">
      <c r="A57" s="5" t="inlineStr">
        <is>
          <t>Shipping: Ex works</t>
        </is>
      </c>
    </row>
    <row r="58">
      <c r="A58" s="5" t="inlineStr">
        <is>
          <t>Payment: On account, 20th month following date of invoice</t>
        </is>
      </c>
    </row>
    <row r="59">
      <c r="A59" s="5">
        <f>"Validity: "&amp;$I$3&amp;" days"</f>
        <v/>
      </c>
    </row>
  </sheetData>
  <mergeCells count="20">
    <mergeCell ref="D2:F2"/>
    <mergeCell ref="A54:F54"/>
    <mergeCell ref="A11:B11"/>
    <mergeCell ref="A12:F12"/>
    <mergeCell ref="A1:B1"/>
    <mergeCell ref="A57:F57"/>
    <mergeCell ref="A8:C8"/>
    <mergeCell ref="A56:B56"/>
    <mergeCell ref="A53:F53"/>
    <mergeCell ref="A3:B3"/>
    <mergeCell ref="A50:B50"/>
    <mergeCell ref="A52:F52"/>
    <mergeCell ref="A2:B2"/>
    <mergeCell ref="A9:C9"/>
    <mergeCell ref="A58:F58"/>
    <mergeCell ref="D1:F1"/>
    <mergeCell ref="A59:F59"/>
    <mergeCell ref="A4:B4"/>
    <mergeCell ref="A51:F51"/>
    <mergeCell ref="A7:C7"/>
  </mergeCells>
  <conditionalFormatting sqref="A16:F16">
    <cfRule type="expression" priority="1" dxfId="0">
      <formula>OR($B$17&lt;&gt;"",$C$17&lt;&gt;"")</formula>
    </cfRule>
  </conditionalFormatting>
  <conditionalFormatting sqref="A19:F19">
    <cfRule type="expression" priority="2" dxfId="0">
      <formula>OR($B$20&lt;&gt;"",$C$20&lt;&gt;"")</formula>
    </cfRule>
  </conditionalFormatting>
  <conditionalFormatting sqref="A22:F22">
    <cfRule type="expression" priority="3" dxfId="0">
      <formula>OR($B$23&lt;&gt;"",$C$23&lt;&gt;"")</formula>
    </cfRule>
  </conditionalFormatting>
  <conditionalFormatting sqref="A25:F25">
    <cfRule type="expression" priority="4" dxfId="0">
      <formula>OR($B$26&lt;&gt;"",$C$26&lt;&gt;"")</formula>
    </cfRule>
  </conditionalFormatting>
  <conditionalFormatting sqref="A28:F28">
    <cfRule type="expression" priority="5" dxfId="0">
      <formula>OR($B$29&lt;&gt;"",$C$29&lt;&gt;"")</formula>
    </cfRule>
  </conditionalFormatting>
  <conditionalFormatting sqref="A31:F31">
    <cfRule type="expression" priority="6" dxfId="0">
      <formula>OR($B$32&lt;&gt;"",$C$32&lt;&gt;"")</formula>
    </cfRule>
  </conditionalFormatting>
  <conditionalFormatting sqref="A34:F34">
    <cfRule type="expression" priority="7" dxfId="0">
      <formula>OR($B$35&lt;&gt;"",$C$35&lt;&gt;"")</formula>
    </cfRule>
  </conditionalFormatting>
  <conditionalFormatting sqref="A37:F37">
    <cfRule type="expression" priority="8" dxfId="0">
      <formula>OR($B$38&lt;&gt;"",$C$38&lt;&gt;"")</formula>
    </cfRule>
  </conditionalFormatting>
  <conditionalFormatting sqref="A40:F40">
    <cfRule type="expression" priority="9" dxfId="0">
      <formula>OR($B$41&lt;&gt;"",$C$41&lt;&gt;"")</formula>
    </cfRule>
  </conditionalFormatting>
  <dataValidations count="1">
    <dataValidation sqref="D14 D17 D20 D23 D26 D29 D32 D35 D38 D41" showDropDown="0" showInputMessage="0" showErrorMessage="0" allowBlank="1" type="list">
      <formula1>"pcs,ea,set,m,kg,hr,lot"</formula1>
    </dataValidation>
  </dataValidations>
  <pageMargins left="0.75" right="0.75" top="0.75" bottom="1" header="0.5" footer="0.5"/>
  <pageSetup orientation="portrait" paperSize="9" fitToHeight="0" fitToWidth="1"/>
  <headerFooter>
    <oddHeader/>
    <oddFooter>&amp;L&amp;"Calibri,Regular"&amp;7 &amp;K666666POWERED BY  NOZZLEWORKS&amp;R&amp;"Calibri,Regular"&amp;7 &amp;K666666&amp;P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2026-09-24T11:51:03Z</dcterms:created>
  <dcterms:modified xmlns:dcterms="http://purl.org/dc/terms/" xmlns:xsi="http://www.w3.org/2001/XMLSchema-instance" xsi:type="dcterms:W3CDTF">2026-10-05T00:57:42Z</dcterms:modified>
</cp:coreProperties>
</file>