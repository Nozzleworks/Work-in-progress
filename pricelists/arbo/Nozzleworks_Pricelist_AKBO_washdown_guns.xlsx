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8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0.47</v>
      </c>
      <c r="D5" s="6" t="inlineStr">
        <is>
          <t>Per Andrew 07-Oct-2026 - to be reviewed. NZD cost = EUR / rate.</t>
        </is>
      </c>
      <c r="M5" s="3" t="inlineStr">
        <is>
          <t>Items listed</t>
        </is>
      </c>
      <c r="N5" s="4">
        <f>COUNT(G14:G248)</f>
        <v/>
      </c>
    </row>
    <row r="6">
      <c r="A6" s="4" t="inlineStr">
        <is>
          <t>Freight rate (NZD per kg)</t>
        </is>
      </c>
      <c r="C6" s="7" t="n">
        <v>25</v>
      </c>
      <c r="D6" s="6" t="inlineStr">
        <is>
          <t>Per Andrew 07-Oct-2026 - placeholder, to be updated.</t>
        </is>
      </c>
      <c r="M6" s="3" t="inlineStr">
        <is>
          <t>No NW part no.</t>
        </is>
      </c>
      <c r="N6" s="4">
        <f>COUNTIF(B14:B248,"NOT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COUNTIF(F14:F248,"ESTIMATE*")</f>
        <v/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1.15</v>
      </c>
      <c r="D9" s="6" t="inlineStr">
        <is>
          <t>Per Andrew 07-Oct-2026 - 115%,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WD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WD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WD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WD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WD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WD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WD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WD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WD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WD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</row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WD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WD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WD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WD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WD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WD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WD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</row>
    <row r="37">
      <c r="A37" s="19" t="inlineStr">
        <is>
          <t>AKMN011-B</t>
        </is>
      </c>
      <c r="B37" s="20">
        <f>IFERROR(INDEX(Conversion!$C$2:$C$500,MATCH($A37,Conversion!$B$2:$B$500,0)),"NOT ASSIGNED")</f>
        <v/>
      </c>
      <c r="C37" s="21" t="inlineStr">
        <is>
          <t>Blue King superior brass water gun without trigger protection, blue</t>
        </is>
      </c>
      <c r="D37" s="22" t="inlineStr">
        <is>
          <t>Blue King WD gun, w/o trigger guard, blue, brass</t>
        </is>
      </c>
      <c r="E37" s="23" t="n">
        <v>0.706</v>
      </c>
      <c r="F37" s="24" t="inlineStr">
        <is>
          <t>Cat p.6</t>
        </is>
      </c>
      <c r="G37" s="25" t="n">
        <v>27.006012</v>
      </c>
      <c r="H37" s="25" t="n">
        <v>24.005344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</row>
    <row r="38">
      <c r="A38" s="19" t="inlineStr">
        <is>
          <t>AKMN011-B-KING</t>
        </is>
      </c>
      <c r="B38" s="20">
        <f>IFERROR(INDEX(Conversion!$C$2:$C$500,MATCH($A38,Conversion!$B$2:$B$500,0)),"NOT ASSIGNED")</f>
        <v/>
      </c>
      <c r="C38" s="21" t="inlineStr">
        <is>
          <t>Blue King superior brass water gun without trigger protection, blue with KING logo</t>
        </is>
      </c>
      <c r="D38" s="22" t="inlineStr">
        <is>
          <t>Blue King WD gun, w/o trigger guard, KING logo, blue, brass</t>
        </is>
      </c>
      <c r="E38" s="23" t="n">
        <v>0.706</v>
      </c>
      <c r="F38" s="24" t="inlineStr">
        <is>
          <t>Cat p.6 - same gun as AKMN011-B, logo only</t>
        </is>
      </c>
      <c r="G38" s="25" t="n">
        <v>27.108378</v>
      </c>
      <c r="H38" s="25" t="n">
        <v>24.096336</v>
      </c>
      <c r="I38" s="26" t="n"/>
      <c r="J38" s="27">
        <f>IF(G38="","",G38/$C$5*(1+$C$8)+$E38*(1+$C$7)*$C$6)</f>
        <v/>
      </c>
      <c r="K38" s="27">
        <f>IF(H38="","",H38/$C$5*(1+$C$8)+$E38*(1+$C$7)*$C$6)</f>
        <v/>
      </c>
      <c r="L38" s="27">
        <f>IF(I38="","",I38/$C$5*(1+$C$8)+$E38*(1+$C$7)*$C$6)</f>
        <v/>
      </c>
      <c r="M38" s="28">
        <f>IF(J38="","",ROUND(J38*(1+$C$9),2))</f>
        <v/>
      </c>
      <c r="N38" s="28">
        <f>IF(K38="","",ROUND(K38*(1+$C$9),2))</f>
        <v/>
      </c>
      <c r="O38" s="28">
        <f>IF(L38="","",ROUND(L38*(1+$C$9),2))</f>
        <v/>
      </c>
      <c r="P38" s="29">
        <f>TRIM(IF($B38="NOT ASSIGNED","No NW part no. ","")&amp;IFERROR(IF(INDEX(Conversion!$J$2:$J$500,MATCH($A38,Conversion!$B$2:$B$500,0))="Needs review","Conversion table: needs review. ",""),"")&amp;IF(LEFT($F38,8)="ESTIMATE","Weight estimated. ","")&amp;"")</f>
        <v/>
      </c>
    </row>
    <row r="39">
      <c r="A39" s="19" t="inlineStr">
        <is>
          <t>AKMNP11-B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 trigger protection, blue</t>
        </is>
      </c>
      <c r="D39" s="22" t="inlineStr">
        <is>
          <t>Blue King WD gun, w/ trigger guard, blue, brass</t>
        </is>
      </c>
      <c r="E39" s="23" t="n">
        <v>0.88</v>
      </c>
      <c r="F39" s="24" t="inlineStr">
        <is>
          <t>Cat p.6</t>
        </is>
      </c>
      <c r="G39" s="25" t="n">
        <v>35.288352</v>
      </c>
      <c r="H39" s="25" t="n">
        <v>31.367424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</row>
    <row r="40">
      <c r="A40" s="19" t="inlineStr">
        <is>
          <t>AKMNP11-B-KING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 trigger protection, blue with KING logo</t>
        </is>
      </c>
      <c r="D40" s="22" t="inlineStr">
        <is>
          <t>Blue King WD gun, w/ trigger guard, KING logo, blue, brass</t>
        </is>
      </c>
      <c r="E40" s="23" t="n">
        <v>0.88</v>
      </c>
      <c r="F40" s="24" t="inlineStr">
        <is>
          <t>Cat p.6 - same gun as AKMNP11-B, logo only</t>
        </is>
      </c>
      <c r="G40" s="25" t="n">
        <v>35.390718</v>
      </c>
      <c r="H40" s="25" t="n">
        <v>31.458416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</row>
    <row r="42">
      <c r="A42" s="19" t="inlineStr">
        <is>
          <t>AKMB001-BL</t>
        </is>
      </c>
      <c r="B42" s="20">
        <f>IFERROR(INDEX(Conversion!$C$2:$C$500,MATCH($A42,Conversion!$B$2:$B$500,0)),"NOT ASSIGNED")</f>
        <v/>
      </c>
      <c r="C42" s="21" t="inlineStr">
        <is>
          <t>Brass water gun, big flow, black</t>
        </is>
      </c>
      <c r="D42" s="22" t="inlineStr">
        <is>
          <t>Classic High-Flow WD gun, w/o trigger guard, black, brass</t>
        </is>
      </c>
      <c r="E42" s="23" t="n">
        <v>0.84</v>
      </c>
      <c r="F42" s="24" t="inlineStr">
        <is>
          <t>Cat p.20</t>
        </is>
      </c>
      <c r="G42" s="25" t="n">
        <v>36.4485</v>
      </c>
      <c r="H42" s="25" t="n">
        <v>32.81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</row>
    <row r="43">
      <c r="A43" s="19" t="inlineStr">
        <is>
          <t>AKMBP01-BL</t>
        </is>
      </c>
      <c r="B43" s="20">
        <f>IFERROR(INDEX(Conversion!$C$2:$C$500,MATCH($A43,Conversion!$B$2:$B$500,0)),"NOT ASSIGNED")</f>
        <v/>
      </c>
      <c r="C43" s="21" t="inlineStr">
        <is>
          <t>Brass water gun, big flow, with trigger protection, black</t>
        </is>
      </c>
      <c r="D43" s="22" t="inlineStr">
        <is>
          <t>Classic High-Flow WD gun, w/ trigger guard, black, brass</t>
        </is>
      </c>
      <c r="E43" s="30" t="n">
        <v>1.036</v>
      </c>
      <c r="F43" s="24" t="inlineStr">
        <is>
          <t>ESTIMATE - not tabulated; AKMB001-BL + trigger guard (AKMN delta)</t>
        </is>
      </c>
      <c r="G43" s="25" t="n">
        <v>38.88874</v>
      </c>
      <c r="H43" s="25" t="n">
        <v>35</v>
      </c>
      <c r="I43" s="26" t="n"/>
      <c r="J43" s="27">
        <f>IF(G43="","",G43/$C$5*(1+$C$8)+$E43*(1+$C$7)*$C$6)</f>
        <v/>
      </c>
      <c r="K43" s="27">
        <f>IF(H43="","",H43/$C$5*(1+$C$8)+$E43*(1+$C$7)*$C$6)</f>
        <v/>
      </c>
      <c r="L43" s="27">
        <f>IF(I43="","",I43/$C$5*(1+$C$8)+$E43*(1+$C$7)*$C$6)</f>
        <v/>
      </c>
      <c r="M43" s="28">
        <f>IF(J43="","",ROUND(J43*(1+$C$9),2))</f>
        <v/>
      </c>
      <c r="N43" s="28">
        <f>IF(K43="","",ROUND(K43*(1+$C$9),2))</f>
        <v/>
      </c>
      <c r="O43" s="28">
        <f>IF(L43="","",ROUND(L43*(1+$C$9),2))</f>
        <v/>
      </c>
      <c r="P43" s="29">
        <f>TRIM(IF($B43="NOT ASSIGNED","No NW part no. ","")&amp;IFERROR(IF(INDEX(Conversion!$J$2:$J$500,MATCH($A43,Conversion!$B$2:$B$500,0))="Needs review","Conversion table: needs review. ",""),"")&amp;IF(LEFT($F43,8)="ESTIMATE","Weight estimated. ","")&amp;"Catalogue only lists AKMBP01-B-SWM14-3/4 (with swivel) - confirm model.")</f>
        <v/>
      </c>
    </row>
    <row r="44">
      <c r="A44" s="19" t="inlineStr">
        <is>
          <t>AKRB001-BL</t>
        </is>
      </c>
      <c r="B44" s="20">
        <f>IFERROR(INDEX(Conversion!$C$2:$C$500,MATCH($A44,Conversion!$B$2:$B$500,0)),"NOT ASSIGNED")</f>
        <v/>
      </c>
      <c r="C44" s="21" t="inlineStr">
        <is>
          <t>Stainless steel water gun, high flow, black</t>
        </is>
      </c>
      <c r="D44" s="22" t="inlineStr">
        <is>
          <t>Classic High-Flow WD gun, w/o trigger guard, black, stainless steel 316</t>
        </is>
      </c>
      <c r="E44" s="30" t="n">
        <v>0.84</v>
      </c>
      <c r="F44" s="24" t="inlineStr">
        <is>
          <t>ESTIMATE - not tabulated; taken as AKMB001-BL</t>
        </is>
      </c>
      <c r="G44" s="25" t="n">
        <v>84.8</v>
      </c>
      <c r="H44" s="25" t="n">
        <v>75.38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","")&amp;"Not in Classic High-Flow brochure (brass only) - series name to confirm.")</f>
        <v/>
      </c>
    </row>
    <row r="46">
      <c r="A46" s="19" t="inlineStr">
        <is>
          <t>AKCN001-B</t>
        </is>
      </c>
      <c r="B46" s="20">
        <f>IFERROR(INDEX(Conversion!$C$2:$C$500,MATCH($A46,Conversion!$B$2:$B$500,0)),"NOT ASSIGNED")</f>
        <v/>
      </c>
      <c r="C46" s="21" t="inlineStr">
        <is>
          <t>Chrome plated brass water gun, blue</t>
        </is>
      </c>
      <c r="D46" s="22" t="inlineStr">
        <is>
          <t>Classic Protection Plus WD gun, w/o trigger guard, blue, chrome-plated brass</t>
        </is>
      </c>
      <c r="E46" s="23" t="n">
        <v>0.867</v>
      </c>
      <c r="F46" s="24" t="inlineStr">
        <is>
          <t>Cat p.13</t>
        </is>
      </c>
      <c r="G46" s="25" t="n">
        <v>36.69</v>
      </c>
      <c r="H46" s="25" t="n">
        <v>32.62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","")&amp;"")</f>
        <v/>
      </c>
    </row>
    <row r="47">
      <c r="A47" s="19" t="inlineStr">
        <is>
          <t>AKCNP01-B</t>
        </is>
      </c>
      <c r="B47" s="20">
        <f>IFERROR(INDEX(Conversion!$C$2:$C$500,MATCH($A47,Conversion!$B$2:$B$500,0)),"NOT ASSIGNED")</f>
        <v/>
      </c>
      <c r="C47" s="21" t="inlineStr">
        <is>
          <t>Chrome plated brass water gun, with trigger protection, blue</t>
        </is>
      </c>
      <c r="D47" s="22" t="inlineStr">
        <is>
          <t>Classic Protection Plus WD gun, w/ trigger guard, blue, chrome-plated brass</t>
        </is>
      </c>
      <c r="E47" s="23" t="n">
        <v>1.016</v>
      </c>
      <c r="F47" s="24" t="inlineStr">
        <is>
          <t>Cat p.13</t>
        </is>
      </c>
      <c r="G47" s="25" t="n">
        <v>38.93</v>
      </c>
      <c r="H47" s="25" t="n">
        <v>34.6</v>
      </c>
      <c r="I47" s="26" t="n"/>
      <c r="J47" s="27">
        <f>IF(G47="","",G47/$C$5*(1+$C$8)+$E47*(1+$C$7)*$C$6)</f>
        <v/>
      </c>
      <c r="K47" s="27">
        <f>IF(H47="","",H47/$C$5*(1+$C$8)+$E47*(1+$C$7)*$C$6)</f>
        <v/>
      </c>
      <c r="L47" s="27">
        <f>IF(I47="","",I47/$C$5*(1+$C$8)+$E47*(1+$C$7)*$C$6)</f>
        <v/>
      </c>
      <c r="M47" s="28">
        <f>IF(J47="","",ROUND(J47*(1+$C$9),2))</f>
        <v/>
      </c>
      <c r="N47" s="28">
        <f>IF(K47="","",ROUND(K47*(1+$C$9),2))</f>
        <v/>
      </c>
      <c r="O47" s="28">
        <f>IF(L47="","",ROUND(L47*(1+$C$9),2))</f>
        <v/>
      </c>
      <c r="P47" s="29">
        <f>TRIM(IF($B47="NOT ASSIGNED","No NW part no. ","")&amp;IFERROR(IF(INDEX(Conversion!$J$2:$J$500,MATCH($A47,Conversion!$B$2:$B$500,0))="Needs review","Conversion table: needs review. ",""),"")&amp;IF(LEFT($F47,8)="ESTIMATE","Weight estimated. ","")&amp;"")</f>
        <v/>
      </c>
    </row>
    <row r="48">
      <c r="A48" s="19" t="inlineStr">
        <is>
          <t>AKCNP01-W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with trigger protection, white</t>
        </is>
      </c>
      <c r="D48" s="22" t="inlineStr">
        <is>
          <t>Classic Protection Plus WD gun, w/ trigger guard, white, chrome-plated brass</t>
        </is>
      </c>
      <c r="E48" s="23" t="n">
        <v>1.016</v>
      </c>
      <c r="F48" s="24" t="inlineStr">
        <is>
          <t>Cat p.13</t>
        </is>
      </c>
      <c r="G48" s="25" t="n">
        <v>38.93</v>
      </c>
      <c r="H48" s="25" t="n">
        <v>34.6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</row>
    <row r="50">
      <c r="A50" s="19" t="inlineStr">
        <is>
          <t>BRFT003-B</t>
        </is>
      </c>
      <c r="B50" s="20">
        <f>IFERROR(INDEX(Conversion!$C$2:$C$500,MATCH($A50,Conversion!$B$2:$B$500,0)),"NOT ASSIGNED")</f>
        <v/>
      </c>
      <c r="C50" s="21" t="inlineStr">
        <is>
          <t>Blue Princess economic stainless steel water gun, blue</t>
        </is>
      </c>
      <c r="D50" s="22" t="inlineStr">
        <is>
          <t>Blue Princess WD gun, w/o trigger guard, blue, stainless steel 316</t>
        </is>
      </c>
      <c r="E50" s="23" t="n">
        <v>0.48</v>
      </c>
      <c r="F50" s="24" t="inlineStr">
        <is>
          <t>Cat p.C</t>
        </is>
      </c>
      <c r="G50" s="25" t="n">
        <v>55.165968</v>
      </c>
      <c r="H50" s="25" t="n">
        <v>49.036416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</row>
    <row r="51">
      <c r="A51" s="19" t="inlineStr">
        <is>
          <t>BRFT003-B-PRIN</t>
        </is>
      </c>
      <c r="B51" s="20">
        <f>IFERROR(INDEX(Conversion!$C$2:$C$500,MATCH($A51,Conversion!$B$2:$B$500,0)),"NOT ASSIGNED")</f>
        <v/>
      </c>
      <c r="C51" s="21" t="inlineStr">
        <is>
          <t>Blue Princess economic stainless steel water gun, blue with PRINCESS logo</t>
        </is>
      </c>
      <c r="D51" s="22" t="inlineStr">
        <is>
          <t>Blue Princess WD gun, w/o trigger guard, PRINCESS logo, blue, stainless steel 316</t>
        </is>
      </c>
      <c r="E51" s="23" t="n">
        <v>0.48</v>
      </c>
      <c r="F51" s="24" t="inlineStr">
        <is>
          <t>Cat p.C - same gun as BRFT003-B, logo only</t>
        </is>
      </c>
      <c r="G51" s="25" t="n">
        <v>55.212498</v>
      </c>
      <c r="H51" s="25" t="n">
        <v>49.077776</v>
      </c>
      <c r="I51" s="26" t="n"/>
      <c r="J51" s="27">
        <f>IF(G51="","",G51/$C$5*(1+$C$8)+$E51*(1+$C$7)*$C$6)</f>
        <v/>
      </c>
      <c r="K51" s="27">
        <f>IF(H51="","",H51/$C$5*(1+$C$8)+$E51*(1+$C$7)*$C$6)</f>
        <v/>
      </c>
      <c r="L51" s="27">
        <f>IF(I51="","",I51/$C$5*(1+$C$8)+$E51*(1+$C$7)*$C$6)</f>
        <v/>
      </c>
      <c r="M51" s="28">
        <f>IF(J51="","",ROUND(J51*(1+$C$9),2))</f>
        <v/>
      </c>
      <c r="N51" s="28">
        <f>IF(K51="","",ROUND(K51*(1+$C$9),2))</f>
        <v/>
      </c>
      <c r="O51" s="28">
        <f>IF(L51="","",ROUND(L51*(1+$C$9),2))</f>
        <v/>
      </c>
      <c r="P51" s="29">
        <f>TRIM(IF($B51="NOT ASSIGNED","No NW part no. ","")&amp;IFERROR(IF(INDEX(Conversion!$J$2:$J$500,MATCH($A51,Conversion!$B$2:$B$500,0))="Needs review","Conversion table: needs review. ",""),"")&amp;IF(LEFT($F51,8)="ESTIMATE","Weight estimated. ","")&amp;"")</f>
        <v/>
      </c>
    </row>
    <row r="52">
      <c r="A52" s="19" t="inlineStr">
        <is>
          <t>BRFTP03-B-PRIN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with trigger guard and insulation trigger, bue with Princess logo</t>
        </is>
      </c>
      <c r="D52" s="22" t="inlineStr">
        <is>
          <t>Blue Princess WD gun, w/ trigger guard, PRINCESS logo, blue, stainless steel 316</t>
        </is>
      </c>
      <c r="E52" s="23" t="n">
        <v>0.62</v>
      </c>
      <c r="F52" s="24" t="inlineStr">
        <is>
          <t>Cat p.C (catalogue code BRFTP13-B-PRIN)</t>
        </is>
      </c>
      <c r="G52" s="25" t="n">
        <v>71.127</v>
      </c>
      <c r="H52" s="25" t="n">
        <v>63.224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","")&amp;"Pricelist code BRFTP03 vs catalogue/conversion BRFTP13 - confirm with AKBO.")</f>
        <v/>
      </c>
    </row>
    <row r="53">
      <c r="A53" s="19" t="inlineStr">
        <is>
          <t>AKRN001-B</t>
        </is>
      </c>
      <c r="B53" s="20">
        <f>IFERROR(INDEX(Conversion!$C$2:$C$500,MATCH($A53,Conversion!$B$2:$B$500,0)),"NOT ASSIGNED")</f>
        <v/>
      </c>
      <c r="C53" s="21" t="inlineStr">
        <is>
          <t>St.st. water gun, blue</t>
        </is>
      </c>
      <c r="D53" s="22" t="inlineStr">
        <is>
          <t>Classic SS WD gun, w/o trigger guard, blue, stainless steel 316</t>
        </is>
      </c>
      <c r="E53" s="23" t="n">
        <v>0.8129999999999999</v>
      </c>
      <c r="F53" s="24" t="inlineStr">
        <is>
          <t>Cat p.15</t>
        </is>
      </c>
      <c r="G53" s="25" t="n">
        <v>80.06882400000001</v>
      </c>
      <c r="H53" s="25" t="n">
        <v>71.18000000000001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</row>
    <row r="54">
      <c r="A54" s="19" t="inlineStr">
        <is>
          <t>AKRN001-W</t>
        </is>
      </c>
      <c r="B54" s="20">
        <f>IFERROR(INDEX(Conversion!$C$2:$C$500,MATCH($A54,Conversion!$B$2:$B$500,0)),"NOT ASSIGNED")</f>
        <v/>
      </c>
      <c r="C54" s="21" t="inlineStr">
        <is>
          <t>St.st. water gun, white</t>
        </is>
      </c>
      <c r="D54" s="22" t="inlineStr">
        <is>
          <t>Classic SS WD gun, w/o trigger guard, white, stainless steel 316</t>
        </is>
      </c>
      <c r="E54" s="23" t="n">
        <v>0.8129999999999999</v>
      </c>
      <c r="F54" s="24" t="inlineStr">
        <is>
          <t>Cat p.15</t>
        </is>
      </c>
      <c r="G54" s="25" t="n">
        <v>80.06882400000001</v>
      </c>
      <c r="H54" s="25" t="n">
        <v>71.18000000000001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","")&amp;"")</f>
        <v/>
      </c>
    </row>
    <row r="55">
      <c r="A55" s="19" t="inlineStr">
        <is>
          <t>AKRNP01-B</t>
        </is>
      </c>
      <c r="B55" s="20">
        <f>IFERROR(INDEX(Conversion!$C$2:$C$500,MATCH($A55,Conversion!$B$2:$B$500,0)),"NOT ASSIGNED")</f>
        <v/>
      </c>
      <c r="C55" s="21" t="inlineStr">
        <is>
          <t>St.st. water gun, with trigger protection, blue</t>
        </is>
      </c>
      <c r="D55" s="22" t="inlineStr">
        <is>
          <t>Classic SS WD gun, w/ trigger guard, blue, stainless steel 316</t>
        </is>
      </c>
      <c r="E55" s="23" t="n">
        <v>0.983</v>
      </c>
      <c r="F55" s="24" t="inlineStr">
        <is>
          <t>Cat p.15</t>
        </is>
      </c>
      <c r="G55" s="25" t="n">
        <v>82.562832</v>
      </c>
      <c r="H55" s="25" t="n">
        <v>73.39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</row>
    <row r="56">
      <c r="A56" s="19" t="inlineStr">
        <is>
          <t>AKRNP01-W</t>
        </is>
      </c>
      <c r="B56" s="20">
        <f>IFERROR(INDEX(Conversion!$C$2:$C$500,MATCH($A56,Conversion!$B$2:$B$500,0)),"NOT ASSIGNED")</f>
        <v/>
      </c>
      <c r="C56" s="21" t="inlineStr">
        <is>
          <t>St.st. water gun, with trigger protection, white</t>
        </is>
      </c>
      <c r="D56" s="22" t="inlineStr">
        <is>
          <t>Classic SS WD gun, w/ trigger guard, white, stainless steel 316</t>
        </is>
      </c>
      <c r="E56" s="23" t="n">
        <v>0.983</v>
      </c>
      <c r="F56" s="24" t="inlineStr">
        <is>
          <t>Cat p.15</t>
        </is>
      </c>
      <c r="G56" s="25" t="n">
        <v>82.562832</v>
      </c>
      <c r="H56" s="25" t="n">
        <v>73.39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</row>
    <row r="58">
      <c r="A58" s="19" t="inlineStr">
        <is>
          <t>AKRHP01-R</t>
        </is>
      </c>
      <c r="B58" s="20">
        <f>IFERROR(INDEX(Conversion!$C$2:$C$500,MATCH($A58,Conversion!$B$2:$B$500,0)),"NOT ASSIGNED")</f>
        <v/>
      </c>
      <c r="C58" s="21" t="inlineStr">
        <is>
          <t>St.st. water gun with trigger protection, Teflon/air handgrip insulation, red</t>
        </is>
      </c>
      <c r="D58" s="22" t="inlineStr">
        <is>
          <t>Classic Hot Wash WD gun, w/ trigger guard, Teflon/air insulated grip, red, stainless steel 316</t>
        </is>
      </c>
      <c r="E58" s="23" t="n">
        <v>0.98</v>
      </c>
      <c r="F58" s="24" t="inlineStr">
        <is>
          <t>Cat p.22</t>
        </is>
      </c>
      <c r="G58" s="25" t="n">
        <v>91.747854</v>
      </c>
      <c r="H58" s="25" t="n">
        <v>81.55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</row>
    <row r="59">
      <c r="A59" s="19" t="inlineStr">
        <is>
          <t>AKRHPB1-R</t>
        </is>
      </c>
      <c r="B59" s="20">
        <f>IFERROR(INDEX(Conversion!$C$2:$C$500,MATCH($A59,Conversion!$B$2:$B$500,0)),"NOT ASSIGNED")</f>
        <v/>
      </c>
      <c r="C59" s="21" t="inlineStr">
        <is>
          <t>St.st. water gun, big flow, with trigger protection, Teflon/air handgrip insulation, red</t>
        </is>
      </c>
      <c r="D59" s="22" t="inlineStr">
        <is>
          <t>Classic Hot Wash WD gun, w/ trigger guard, high flow, Teflon/air insulated grip, red, stainless steel 316</t>
        </is>
      </c>
      <c r="E59" s="23" t="n">
        <v>0.98</v>
      </c>
      <c r="F59" s="24" t="inlineStr">
        <is>
          <t>Cat p.22</t>
        </is>
      </c>
      <c r="G59" s="25" t="n">
        <v>91.747854</v>
      </c>
      <c r="H59" s="25" t="n">
        <v>81.55</v>
      </c>
      <c r="I59" s="26" t="n"/>
      <c r="J59" s="27">
        <f>IF(G59="","",G59/$C$5*(1+$C$8)+$E59*(1+$C$7)*$C$6)</f>
        <v/>
      </c>
      <c r="K59" s="27">
        <f>IF(H59="","",H59/$C$5*(1+$C$8)+$E59*(1+$C$7)*$C$6)</f>
        <v/>
      </c>
      <c r="L59" s="27">
        <f>IF(I59="","",I59/$C$5*(1+$C$8)+$E59*(1+$C$7)*$C$6)</f>
        <v/>
      </c>
      <c r="M59" s="28">
        <f>IF(J59="","",ROUND(J59*(1+$C$9),2))</f>
        <v/>
      </c>
      <c r="N59" s="28">
        <f>IF(K59="","",ROUND(K59*(1+$C$9),2))</f>
        <v/>
      </c>
      <c r="O59" s="28">
        <f>IF(L59="","",ROUND(L59*(1+$C$9),2))</f>
        <v/>
      </c>
      <c r="P59" s="29">
        <f>TRIM(IF($B59="NOT ASSIGNED","No NW part no. ","")&amp;IFERROR(IF(INDEX(Conversion!$J$2:$J$500,MATCH($A59,Conversion!$B$2:$B$500,0))="Needs review","Conversion table: needs review. ",""),"")&amp;IF(LEFT($F59,8)="ESTIMATE","Weight estimated. ","")&amp;"")</f>
        <v/>
      </c>
    </row>
    <row r="60">
      <c r="A60" s="19" t="inlineStr">
        <is>
          <t>AKRHP02-R-L40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40cm lance, red</t>
        </is>
      </c>
      <c r="D60" s="22" t="inlineStr">
        <is>
          <t>Classic Hot Wash WD gun, w/ trigger guard, 40 cm lance, Teflon/air insulated grip, red, stainless steel 316</t>
        </is>
      </c>
      <c r="E60" s="23" t="n">
        <v>1.9</v>
      </c>
      <c r="F60" s="24" t="inlineStr">
        <is>
          <t>Cat p.22</t>
        </is>
      </c>
      <c r="G60" s="25" t="n">
        <v>143.191422</v>
      </c>
      <c r="H60" s="25" t="n">
        <v>127.28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</row>
    <row r="62">
      <c r="A62" s="19" t="inlineStr">
        <is>
          <t>AKRNP01-BL-EX</t>
        </is>
      </c>
      <c r="B62" s="20">
        <f>IFERROR(INDEX(Conversion!$C$2:$C$500,MATCH($A62,Conversion!$B$2:$B$500,0)),"NOT ASSIGNED")</f>
        <v/>
      </c>
      <c r="C62" s="21" t="inlineStr">
        <is>
          <t>St.st. water gun, with trigger protection, EX-covers, black</t>
        </is>
      </c>
      <c r="D62" s="22" t="inlineStr">
        <is>
          <t>Classic ATEX WD gun, w/ trigger guard, Zone 1 &amp; 2, black, stainless steel 316</t>
        </is>
      </c>
      <c r="E62" s="23" t="n">
        <v>0.957</v>
      </c>
      <c r="F62" s="24" t="inlineStr">
        <is>
          <t>Cat p.23</t>
        </is>
      </c>
      <c r="G62" s="25" t="n">
        <v>103.147704</v>
      </c>
      <c r="H62" s="25" t="n">
        <v>91.69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</row>
    <row r="63">
      <c r="A63" s="19" t="inlineStr">
        <is>
          <t>AKRN002-LB-LAT</t>
        </is>
      </c>
      <c r="B63" s="20">
        <f>IFERROR(INDEX(Conversion!$C$2:$C$500,MATCH($A63,Conversion!$B$2:$B$500,0)),"NOT ASSIGNED")</f>
        <v/>
      </c>
      <c r="C63" s="21" t="inlineStr">
        <is>
          <t>St.st. water gun with latex cover, light blue</t>
        </is>
      </c>
      <c r="D63" s="22" t="inlineStr">
        <is>
          <t>Classic SS Sterilisable WD gun, latex jacket, light blue, stainless steel 316</t>
        </is>
      </c>
      <c r="E63" s="23" t="n">
        <v>0.87</v>
      </c>
      <c r="F63" s="24" t="inlineStr">
        <is>
          <t>Cat p.24</t>
        </is>
      </c>
      <c r="G63" s="25" t="n">
        <v>114.55686</v>
      </c>
      <c r="H63" s="25" t="n">
        <v>101.83</v>
      </c>
      <c r="I63" s="26" t="n"/>
      <c r="J63" s="27">
        <f>IF(G63="","",G63/$C$5*(1+$C$8)+$E63*(1+$C$7)*$C$6)</f>
        <v/>
      </c>
      <c r="K63" s="27">
        <f>IF(H63="","",H63/$C$5*(1+$C$8)+$E63*(1+$C$7)*$C$6)</f>
        <v/>
      </c>
      <c r="L63" s="27">
        <f>IF(I63="","",I63/$C$5*(1+$C$8)+$E63*(1+$C$7)*$C$6)</f>
        <v/>
      </c>
      <c r="M63" s="28">
        <f>IF(J63="","",ROUND(J63*(1+$C$9),2))</f>
        <v/>
      </c>
      <c r="N63" s="28">
        <f>IF(K63="","",ROUND(K63*(1+$C$9),2))</f>
        <v/>
      </c>
      <c r="O63" s="28">
        <f>IF(L63="","",ROUND(L63*(1+$C$9),2))</f>
        <v/>
      </c>
      <c r="P63" s="29">
        <f>TRIM(IF($B63="NOT ASSIGNED","No NW part no. ","")&amp;IFERROR(IF(INDEX(Conversion!$J$2:$J$500,MATCH($A63,Conversion!$B$2:$B$500,0))="Needs review","Conversion table: needs review. ",""),"")&amp;IF(LEFT($F63,8)="ESTIMATE","Weight estimated. ","")&amp;"")</f>
        <v/>
      </c>
    </row>
    <row r="65">
      <c r="A65" s="19" t="inlineStr">
        <is>
          <t>AKRSV01-B</t>
        </is>
      </c>
      <c r="B65" s="20">
        <f>IFERROR(INDEX(Conversion!$C$2:$C$500,MATCH($A65,Conversion!$B$2:$B$500,0)),"NOT ASSIGNED")</f>
        <v/>
      </c>
      <c r="C65" s="21" t="inlineStr">
        <is>
          <t>Versatile stainless steel squeeze valve "Squeezer", blue</t>
        </is>
      </c>
      <c r="D65" s="22" t="inlineStr">
        <is>
          <t>The Squeezer valve, self-closing, 1/2" F x 1/2" F, blue, stainless steel 304</t>
        </is>
      </c>
      <c r="E65" s="23" t="n">
        <v>0.635</v>
      </c>
      <c r="F65" s="24" t="inlineStr">
        <is>
          <t>Cat p.A</t>
        </is>
      </c>
      <c r="G65" s="25" t="n">
        <v>63.12</v>
      </c>
      <c r="H65" s="25" t="n">
        <v>59.41</v>
      </c>
      <c r="I65" s="25" t="n">
        <v>51.98</v>
      </c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</row>
    <row r="66">
      <c r="A66" s="19" t="inlineStr">
        <is>
          <t>AKR001-B</t>
        </is>
      </c>
      <c r="B66" s="20">
        <f>IFERROR(INDEX(Conversion!$C$2:$C$500,MATCH($A66,Conversion!$B$2:$B$500,0)),"NOT ASSIGNED")</f>
        <v/>
      </c>
      <c r="C66" s="21" t="inlineStr">
        <is>
          <t>St, st. shower head, blue</t>
        </is>
      </c>
      <c r="D66" s="22" t="inlineStr">
        <is>
          <t>The Squeezer shower head, 1/2" M, blue, stainless steel 304 / PA66</t>
        </is>
      </c>
      <c r="E66" s="23" t="n">
        <v>0.125</v>
      </c>
      <c r="F66" s="24" t="inlineStr">
        <is>
          <t>Cat p.B (catalogue code AKRS001-B)</t>
        </is>
      </c>
      <c r="G66" s="25" t="n">
        <v>18.28</v>
      </c>
      <c r="H66" s="25" t="n">
        <v>17.2</v>
      </c>
      <c r="I66" s="25" t="n">
        <v>15.05</v>
      </c>
      <c r="J66" s="27">
        <f>IF(G66="","",G66/$C$5*(1+$C$8)+$E66*(1+$C$7)*$C$6)</f>
        <v/>
      </c>
      <c r="K66" s="27">
        <f>IF(H66="","",H66/$C$5*(1+$C$8)+$E66*(1+$C$7)*$C$6)</f>
        <v/>
      </c>
      <c r="L66" s="27">
        <f>IF(I66="","",I66/$C$5*(1+$C$8)+$E66*(1+$C$7)*$C$6)</f>
        <v/>
      </c>
      <c r="M66" s="28">
        <f>IF(J66="","",ROUND(J66*(1+$C$9),2))</f>
        <v/>
      </c>
      <c r="N66" s="28">
        <f>IF(K66="","",ROUND(K66*(1+$C$9),2))</f>
        <v/>
      </c>
      <c r="O66" s="28">
        <f>IF(L66="","",ROUND(L66*(1+$C$9),2))</f>
        <v/>
      </c>
      <c r="P66" s="29">
        <f>TRIM(IF($B66="NOT ASSIGNED","No NW part no. ","")&amp;IFERROR(IF(INDEX(Conversion!$J$2:$J$500,MATCH($A66,Conversion!$B$2:$B$500,0))="Needs review","Conversion table: needs review. ",""),"")&amp;IF(LEFT($F66,8)="ESTIMATE","Weight estimated. ","")&amp;"Catalogue code is AKRS001-B - confirm with AKBO.")</f>
        <v/>
      </c>
    </row>
    <row r="68">
      <c r="A68" s="14" t="inlineStr">
        <is>
          <t>Classic series - WD guns for lance mounting (1/2" male outlet)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</row>
    <row r="70">
      <c r="A70" s="16" t="inlineStr">
        <is>
          <t>Qty break</t>
        </is>
      </c>
      <c r="B70" s="17" t="n"/>
      <c r="C70" s="17" t="n"/>
      <c r="D70" s="17" t="n"/>
      <c r="E70" s="17" t="n"/>
      <c r="F70" s="17" t="n"/>
      <c r="G70" s="18" t="inlineStr">
        <is>
          <t>&lt; 20 pcs</t>
        </is>
      </c>
      <c r="H70" s="18" t="inlineStr">
        <is>
          <t>≥ 20 pcs</t>
        </is>
      </c>
      <c r="I70" s="18" t="inlineStr">
        <is>
          <t>≥ 50 pcs</t>
        </is>
      </c>
      <c r="J70" s="18" t="inlineStr">
        <is>
          <t>&lt; 20 pcs</t>
        </is>
      </c>
      <c r="K70" s="18" t="inlineStr">
        <is>
          <t>≥ 20 pcs</t>
        </is>
      </c>
      <c r="L70" s="18" t="inlineStr">
        <is>
          <t>≥ 50 pcs</t>
        </is>
      </c>
      <c r="M70" s="18" t="inlineStr">
        <is>
          <t>&lt; 20 pcs</t>
        </is>
      </c>
      <c r="N70" s="18" t="inlineStr">
        <is>
          <t>≥ 20 pcs</t>
        </is>
      </c>
      <c r="O70" s="18" t="inlineStr">
        <is>
          <t>≥ 50 pcs</t>
        </is>
      </c>
      <c r="P70" s="17" t="n"/>
    </row>
    <row r="71">
      <c r="A71" s="19" t="inlineStr">
        <is>
          <t>KLML002-B</t>
        </is>
      </c>
      <c r="B71" s="20">
        <f>IFERROR(INDEX(Conversion!$C$2:$C$500,MATCH($A71,Conversion!$B$2:$B$500,0)),"NOT ASSIGNED")</f>
        <v/>
      </c>
      <c r="C71" s="21" t="inlineStr">
        <is>
          <t>Brass water gun, without trigger insulation and 1/2"outlet for lance mounting, blue</t>
        </is>
      </c>
      <c r="D71" s="22" t="inlineStr">
        <is>
          <t>Classic WD gun, w/o trigger insulation, 1/2" M outlet for lance, blue, brass</t>
        </is>
      </c>
      <c r="E71" s="30" t="n">
        <v>0.84</v>
      </c>
      <c r="F71" s="24" t="inlineStr">
        <is>
          <t>ESTIMATE - not in catalogue; taken as KLMN001 (p.9)</t>
        </is>
      </c>
      <c r="G71" s="25" t="n">
        <v>27.64</v>
      </c>
      <c r="H71" s="26" t="n"/>
      <c r="I71" s="26" t="n"/>
      <c r="J71" s="27">
        <f>IF(G71="","",G71/$C$5*(1+$C$8)+$E71*(1+$C$7)*$C$6)</f>
        <v/>
      </c>
      <c r="K71" s="27">
        <f>IF(H71="","",H71/$C$5*(1+$C$8)+$E71*(1+$C$7)*$C$6)</f>
        <v/>
      </c>
      <c r="L71" s="27">
        <f>IF(I71="","",I71/$C$5*(1+$C$8)+$E71*(1+$C$7)*$C$6)</f>
        <v/>
      </c>
      <c r="M71" s="28">
        <f>IF(J71="","",ROUND(J71*(1+$C$9),2))</f>
        <v/>
      </c>
      <c r="N71" s="28">
        <f>IF(K71="","",ROUND(K71*(1+$C$9),2))</f>
        <v/>
      </c>
      <c r="O71" s="28">
        <f>IF(L71="","",ROUND(L71*(1+$C$9),2))</f>
        <v/>
      </c>
      <c r="P71" s="29">
        <f>TRIM(IF($B71="NOT ASSIGNED","No NW part no. ","")&amp;IFERROR(IF(INDEX(Conversion!$J$2:$J$500,MATCH($A71,Conversion!$B$2:$B$500,0))="Needs review","Conversion table: needs review. ",""),"")&amp;IF(LEFT($F71,8)="ESTIMATE","Weight estimated. ","")&amp;"Added per Andrew 07-Oct-2026 - quoted separately by AKBO, single price only.")</f>
        <v/>
      </c>
    </row>
    <row r="72">
      <c r="A72" s="19" t="inlineStr">
        <is>
          <t>AKCL002-B</t>
        </is>
      </c>
      <c r="B72" s="20">
        <f>IFERROR(INDEX(Conversion!$C$2:$C$500,MATCH($A72,Conversion!$B$2:$B$500,0)),"NOT ASSIGNED")</f>
        <v/>
      </c>
      <c r="C72" s="21" t="inlineStr">
        <is>
          <t>Chrome plated brass water gun, with 1/2" male outlet, blue</t>
        </is>
      </c>
      <c r="D72" s="22" t="inlineStr">
        <is>
          <t>Classic Protection Plus WD gun, 1/2" M outlet for lance, blue, chrome-plated brass</t>
        </is>
      </c>
      <c r="E72" s="30" t="n">
        <v>0.867</v>
      </c>
      <c r="F72" s="24" t="inlineStr">
        <is>
          <t>ESTIMATE - not in catalogue; taken as AKCN001-B (p.13)</t>
        </is>
      </c>
      <c r="G72" s="25" t="n">
        <v>44.49</v>
      </c>
      <c r="H72" s="26" t="n"/>
      <c r="I72" s="26" t="n"/>
      <c r="J72" s="27">
        <f>IF(G72="","",G72/$C$5*(1+$C$8)+$E72*(1+$C$7)*$C$6)</f>
        <v/>
      </c>
      <c r="K72" s="27">
        <f>IF(H72="","",H72/$C$5*(1+$C$8)+$E72*(1+$C$7)*$C$6)</f>
        <v/>
      </c>
      <c r="L72" s="27">
        <f>IF(I72="","",I72/$C$5*(1+$C$8)+$E72*(1+$C$7)*$C$6)</f>
        <v/>
      </c>
      <c r="M72" s="28">
        <f>IF(J72="","",ROUND(J72*(1+$C$9),2))</f>
        <v/>
      </c>
      <c r="N72" s="28">
        <f>IF(K72="","",ROUND(K72*(1+$C$9),2))</f>
        <v/>
      </c>
      <c r="O72" s="28">
        <f>IF(L72="","",ROUND(L72*(1+$C$9),2))</f>
        <v/>
      </c>
      <c r="P72" s="29">
        <f>TRIM(IF($B72="NOT ASSIGNED","No NW part no. ","")&amp;IFERROR(IF(INDEX(Conversion!$J$2:$J$500,MATCH($A72,Conversion!$B$2:$B$500,0))="Needs review","Conversion table: needs review. ",""),"")&amp;IF(LEFT($F72,8)="ESTIMATE","Weight estimated. ","")&amp;"Added per Andrew 07-Oct-2026 - quoted separately by AKBO, single price only.")</f>
        <v/>
      </c>
    </row>
    <row r="73">
      <c r="A73" s="19" t="inlineStr">
        <is>
          <t>AKRL002-B</t>
        </is>
      </c>
      <c r="B73" s="20">
        <f>IFERROR(INDEX(Conversion!$C$2:$C$500,MATCH($A73,Conversion!$B$2:$B$500,0)),"NOT ASSIGNED")</f>
        <v/>
      </c>
      <c r="C73" s="21" t="inlineStr">
        <is>
          <t>St.st. (AISI 316) water gun, with 1/2" male outlet, blue</t>
        </is>
      </c>
      <c r="D73" s="22" t="inlineStr">
        <is>
          <t>Classic SS WD gun, 1/2" M outlet for lance, blue, stainless steel 316</t>
        </is>
      </c>
      <c r="E73" s="30" t="n">
        <v>0.8129999999999999</v>
      </c>
      <c r="F73" s="24" t="inlineStr">
        <is>
          <t>ESTIMATE - not in catalogue; taken as AKRN001 (p.15)</t>
        </is>
      </c>
      <c r="G73" s="25" t="n">
        <v>95.44</v>
      </c>
      <c r="H73" s="26" t="n"/>
      <c r="I73" s="26" t="n"/>
      <c r="J73" s="27">
        <f>IF(G73="","",G73/$C$5*(1+$C$8)+$E73*(1+$C$7)*$C$6)</f>
        <v/>
      </c>
      <c r="K73" s="27">
        <f>IF(H73="","",H73/$C$5*(1+$C$8)+$E73*(1+$C$7)*$C$6)</f>
        <v/>
      </c>
      <c r="L73" s="27">
        <f>IF(I73="","",I73/$C$5*(1+$C$8)+$E73*(1+$C$7)*$C$6)</f>
        <v/>
      </c>
      <c r="M73" s="28">
        <f>IF(J73="","",ROUND(J73*(1+$C$9),2))</f>
        <v/>
      </c>
      <c r="N73" s="28">
        <f>IF(K73="","",ROUND(K73*(1+$C$9),2))</f>
        <v/>
      </c>
      <c r="O73" s="28">
        <f>IF(L73="","",ROUND(L73*(1+$C$9),2))</f>
        <v/>
      </c>
      <c r="P73" s="29">
        <f>TRIM(IF($B73="NOT ASSIGNED","No NW part no. ","")&amp;IFERROR(IF(INDEX(Conversion!$J$2:$J$500,MATCH($A73,Conversion!$B$2:$B$500,0))="Needs review","Conversion table: needs review. ",""),"")&amp;IF(LEFT($F73,8)="ESTIMATE","Weight estimated. ","")&amp;"Added per Andrew 07-Oct-2026 - quoted separately by AKBO, single price only.")</f>
        <v/>
      </c>
    </row>
    <row r="74">
      <c r="A74" s="19" t="inlineStr">
        <is>
          <t>AKNL002-B</t>
        </is>
      </c>
      <c r="B74" s="20">
        <f>IFERROR(INDEX(Conversion!$C$2:$C$500,MATCH($A74,Conversion!$B$2:$B$500,0)),"NOT ASSIGNED")</f>
        <v/>
      </c>
      <c r="C74" s="21" t="inlineStr">
        <is>
          <t>Glass reinforced PA66 water gun, with 1/2" male outlet, blue</t>
        </is>
      </c>
      <c r="D74" s="22" t="inlineStr">
        <is>
          <t>Classic Lite WD gun, 1/2" M outlet for lance, blue, PA66 plastic</t>
        </is>
      </c>
      <c r="E74" s="30" t="n">
        <v>0.48</v>
      </c>
      <c r="F74" s="24" t="inlineStr">
        <is>
          <t>ESTIMATE - not in catalogue; taken as AKNN001-B (p.17)</t>
        </is>
      </c>
      <c r="G74" s="25" t="n">
        <v>30.38</v>
      </c>
      <c r="H74" s="26" t="n"/>
      <c r="I74" s="26" t="n"/>
      <c r="J74" s="27">
        <f>IF(G74="","",G74/$C$5*(1+$C$8)+$E74*(1+$C$7)*$C$6)</f>
        <v/>
      </c>
      <c r="K74" s="27">
        <f>IF(H74="","",H74/$C$5*(1+$C$8)+$E74*(1+$C$7)*$C$6)</f>
        <v/>
      </c>
      <c r="L74" s="27">
        <f>IF(I74="","",I74/$C$5*(1+$C$8)+$E74*(1+$C$7)*$C$6)</f>
        <v/>
      </c>
      <c r="M74" s="28">
        <f>IF(J74="","",ROUND(J74*(1+$C$9),2))</f>
        <v/>
      </c>
      <c r="N74" s="28">
        <f>IF(K74="","",ROUND(K74*(1+$C$9),2))</f>
        <v/>
      </c>
      <c r="O74" s="28">
        <f>IF(L74="","",ROUND(L74*(1+$C$9),2))</f>
        <v/>
      </c>
      <c r="P74" s="29">
        <f>TRIM(IF($B74="NOT ASSIGNED","No NW part no. ","")&amp;IFERROR(IF(INDEX(Conversion!$J$2:$J$500,MATCH($A74,Conversion!$B$2:$B$500,0))="Needs review","Conversion table: needs review. ",""),"")&amp;IF(LEFT($F74,8)="ESTIMATE","Weight estimated. ","")&amp;"Added per Andrew 07-Oct-2026 - quoted separately by AKBO, single price only.")</f>
        <v/>
      </c>
    </row>
    <row r="76">
      <c r="A76" s="14" t="inlineStr">
        <is>
          <t>Baby water guns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</row>
    <row r="78">
      <c r="A78" s="16" t="inlineStr">
        <is>
          <t>Qty break</t>
        </is>
      </c>
      <c r="B78" s="17" t="n"/>
      <c r="C78" s="17" t="n"/>
      <c r="D78" s="17" t="n"/>
      <c r="E78" s="17" t="n"/>
      <c r="F78" s="17" t="n"/>
      <c r="G78" s="18" t="inlineStr">
        <is>
          <t>&lt; 20 pcs</t>
        </is>
      </c>
      <c r="H78" s="18" t="inlineStr">
        <is>
          <t>≥ 20 pcs</t>
        </is>
      </c>
      <c r="I78" s="18" t="n"/>
      <c r="J78" s="18" t="inlineStr">
        <is>
          <t>&lt; 20 pcs</t>
        </is>
      </c>
      <c r="K78" s="18" t="inlineStr">
        <is>
          <t>≥ 20 pcs</t>
        </is>
      </c>
      <c r="L78" s="18" t="n"/>
      <c r="M78" s="18" t="inlineStr">
        <is>
          <t>&lt; 20 pcs</t>
        </is>
      </c>
      <c r="N78" s="18" t="inlineStr">
        <is>
          <t>≥ 20 pcs</t>
        </is>
      </c>
      <c r="O78" s="18" t="n"/>
      <c r="P78" s="17" t="n"/>
    </row>
    <row r="79">
      <c r="A79" s="31" t="inlineStr">
        <is>
          <t>Baby water guns "aluminium"</t>
        </is>
      </c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</row>
    <row r="81">
      <c r="A81" s="19" t="inlineStr">
        <is>
          <t>BABTN01-B</t>
        </is>
      </c>
      <c r="B81" s="20">
        <f>IFERROR(INDEX(Conversion!$C$2:$C$500,MATCH($A81,Conversion!$B$2:$B$500,0)),"NOT ASSIGNED")</f>
        <v/>
      </c>
      <c r="C81" s="21" t="inlineStr">
        <is>
          <t>Aluminium "baby" water gun, back trigger, blue</t>
        </is>
      </c>
      <c r="D81" s="22" t="inlineStr">
        <is>
          <t>Baby WD gun, rear trigger, blue, aluminium</t>
        </is>
      </c>
      <c r="E81" s="23" t="n">
        <v>0.36</v>
      </c>
      <c r="F81" s="24" t="inlineStr">
        <is>
          <t>Cat p.18</t>
        </is>
      </c>
      <c r="G81" s="25" t="n">
        <v>19.458846</v>
      </c>
      <c r="H81" s="25" t="n">
        <v>17.296752</v>
      </c>
      <c r="I81" s="26" t="n"/>
      <c r="J81" s="27">
        <f>IF(G81="","",G81/$C$5*(1+$C$8)+$E81*(1+$C$7)*$C$6)</f>
        <v/>
      </c>
      <c r="K81" s="27">
        <f>IF(H81="","",H81/$C$5*(1+$C$8)+$E81*(1+$C$7)*$C$6)</f>
        <v/>
      </c>
      <c r="L81" s="27">
        <f>IF(I81="","",I81/$C$5*(1+$C$8)+$E81*(1+$C$7)*$C$6)</f>
        <v/>
      </c>
      <c r="M81" s="28">
        <f>IF(J81="","",ROUND(J81*(1+$C$9),2))</f>
        <v/>
      </c>
      <c r="N81" s="28">
        <f>IF(K81="","",ROUND(K81*(1+$C$9),2))</f>
        <v/>
      </c>
      <c r="O81" s="28">
        <f>IF(L81="","",ROUND(L81*(1+$C$9),2))</f>
        <v/>
      </c>
      <c r="P81" s="29">
        <f>TRIM(IF($B81="NOT ASSIGNED","No NW part no. ","")&amp;IFERROR(IF(INDEX(Conversion!$J$2:$J$500,MATCH($A81,Conversion!$B$2:$B$500,0))="Needs review","Conversion table: needs review. ",""),"")&amp;IF(LEFT($F81,8)="ESTIMATE","Weight estimated. ","")&amp;"")</f>
        <v/>
      </c>
    </row>
    <row r="82">
      <c r="A82" s="19" t="inlineStr">
        <is>
          <t>BABTLF1-BL</t>
        </is>
      </c>
      <c r="B82" s="20">
        <f>IFERROR(INDEX(Conversion!$C$2:$C$500,MATCH($A82,Conversion!$B$2:$B$500,0)),"NOT ASSIGNED")</f>
        <v/>
      </c>
      <c r="C82" s="21" t="inlineStr">
        <is>
          <t>Aluminium "baby" water gun, back trigger, 1/2" female outlet, black</t>
        </is>
      </c>
      <c r="D82" s="22" t="inlineStr">
        <is>
          <t>Baby WD gun, rear trigger, 1/2" F outlet, black, aluminium</t>
        </is>
      </c>
      <c r="E82" s="23" t="n">
        <v>0.365</v>
      </c>
      <c r="F82" s="24" t="inlineStr">
        <is>
          <t>Cat p.37</t>
        </is>
      </c>
      <c r="G82" s="25" t="n">
        <v>20.56626</v>
      </c>
      <c r="H82" s="25" t="n">
        <v>18.28112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</row>
    <row r="83">
      <c r="A83" s="19" t="inlineStr">
        <is>
          <t>BABTA01-B</t>
        </is>
      </c>
      <c r="B83" s="20">
        <f>IFERROR(INDEX(Conversion!$C$2:$C$500,MATCH($A83,Conversion!$B$2:$B$500,0)),"NOT ASSIGNED")</f>
        <v/>
      </c>
      <c r="C83" s="21" t="inlineStr">
        <is>
          <t>Aluminium "baby" water gun, back trigger, adapter outlet, blue</t>
        </is>
      </c>
      <c r="D83" s="22" t="inlineStr">
        <is>
          <t>Baby WD gun, rear trigger, adapter outlet, blue, aluminium</t>
        </is>
      </c>
      <c r="E83" s="30" t="n">
        <v>0.365</v>
      </c>
      <c r="F83" s="24" t="inlineStr">
        <is>
          <t>ESTIMATE - not in catalogue; taken as BABTLF1-BL</t>
        </is>
      </c>
      <c r="G83" s="25" t="n">
        <v>20.56626</v>
      </c>
      <c r="H83" s="25" t="n">
        <v>18.28112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</row>
    <row r="84">
      <c r="A84" s="19" t="inlineStr">
        <is>
          <t>BABTNAA-B</t>
        </is>
      </c>
      <c r="B84" s="20">
        <f>IFERROR(INDEX(Conversion!$C$2:$C$500,MATCH($A84,Conversion!$B$2:$B$500,0)),"NOT ASSIGNED")</f>
        <v/>
      </c>
      <c r="C84" s="21" t="inlineStr">
        <is>
          <t>Aluminium "baby" water gun, back trigger, adapter in/output, blue</t>
        </is>
      </c>
      <c r="D84" s="22" t="inlineStr">
        <is>
          <t>Baby WD gun, rear trigger, adapter inlet &amp; outlet, blue, aluminium</t>
        </is>
      </c>
      <c r="E84" s="30" t="n">
        <v>0.37</v>
      </c>
      <c r="F84" s="24" t="inlineStr">
        <is>
          <t>ESTIMATE - not in catalogue; BABTN01-B + adapters</t>
        </is>
      </c>
      <c r="G84" s="25" t="n">
        <v>22.7997</v>
      </c>
      <c r="H84" s="25" t="n">
        <v>20.2664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</row>
    <row r="86">
      <c r="A86" s="31" t="inlineStr">
        <is>
          <t>Baby water guns "brass"</t>
        </is>
      </c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  <c r="O86" s="32" t="n"/>
      <c r="P86" s="32" t="n"/>
    </row>
    <row r="88">
      <c r="A88" s="19" t="inlineStr">
        <is>
          <t>BMBTN01-B</t>
        </is>
      </c>
      <c r="B88" s="20">
        <f>IFERROR(INDEX(Conversion!$C$2:$C$500,MATCH($A88,Conversion!$B$2:$B$500,0)),"NOT ASSIGNED")</f>
        <v/>
      </c>
      <c r="C88" s="21" t="inlineStr">
        <is>
          <t>Brass "baby" water gun, back trigger, blue</t>
        </is>
      </c>
      <c r="D88" s="22" t="inlineStr">
        <is>
          <t>Baby WD gun, rear trigger, blue, brass</t>
        </is>
      </c>
      <c r="E88" s="23" t="n">
        <v>0.622</v>
      </c>
      <c r="F88" s="24" t="inlineStr">
        <is>
          <t>Cat p.18</t>
        </is>
      </c>
      <c r="G88" s="25" t="n">
        <v>22.418154</v>
      </c>
      <c r="H88" s="25" t="n">
        <v>19.927248</v>
      </c>
      <c r="I88" s="26" t="n"/>
      <c r="J88" s="27">
        <f>IF(G88="","",G88/$C$5*(1+$C$8)+$E88*(1+$C$7)*$C$6)</f>
        <v/>
      </c>
      <c r="K88" s="27">
        <f>IF(H88="","",H88/$C$5*(1+$C$8)+$E88*(1+$C$7)*$C$6)</f>
        <v/>
      </c>
      <c r="L88" s="27">
        <f>IF(I88="","",I88/$C$5*(1+$C$8)+$E88*(1+$C$7)*$C$6)</f>
        <v/>
      </c>
      <c r="M88" s="28">
        <f>IF(J88="","",ROUND(J88*(1+$C$9),2))</f>
        <v/>
      </c>
      <c r="N88" s="28">
        <f>IF(K88="","",ROUND(K88*(1+$C$9),2))</f>
        <v/>
      </c>
      <c r="O88" s="28">
        <f>IF(L88="","",ROUND(L88*(1+$C$9),2))</f>
        <v/>
      </c>
      <c r="P88" s="29">
        <f>TRIM(IF($B88="NOT ASSIGNED","No NW part no. ","")&amp;IFERROR(IF(INDEX(Conversion!$J$2:$J$500,MATCH($A88,Conversion!$B$2:$B$500,0))="Needs review","Conversion table: needs review. ",""),"")&amp;IF(LEFT($F88,8)="ESTIMATE","Weight estimated. ","")&amp;"")</f>
        <v/>
      </c>
    </row>
    <row r="89">
      <c r="A89" s="19" t="inlineStr">
        <is>
          <t>BMBNN01-B</t>
        </is>
      </c>
      <c r="B89" s="20">
        <f>IFERROR(INDEX(Conversion!$C$2:$C$500,MATCH($A89,Conversion!$B$2:$B$500,0)),"NOT ASSIGNED")</f>
        <v/>
      </c>
      <c r="C89" s="21" t="inlineStr">
        <is>
          <t>Brass "baby" water gun, back trigger, 1/2" male outlet with adjustable spray pattern, blue</t>
        </is>
      </c>
      <c r="D89" s="22" t="inlineStr">
        <is>
          <t>Baby WD gun, rear trigger, 1/2" M outlet, adjustable nozzle, blue, brass</t>
        </is>
      </c>
      <c r="E89" s="23" t="n">
        <v>0.65</v>
      </c>
      <c r="F89" s="24" t="inlineStr">
        <is>
          <t>Cat p.37</t>
        </is>
      </c>
      <c r="G89" s="25" t="n">
        <v>22.418154</v>
      </c>
      <c r="H89" s="25" t="n">
        <v>19.927248</v>
      </c>
      <c r="I89" s="26" t="n"/>
      <c r="J89" s="27">
        <f>IF(G89="","",G89/$C$5*(1+$C$8)+$E89*(1+$C$7)*$C$6)</f>
        <v/>
      </c>
      <c r="K89" s="27">
        <f>IF(H89="","",H89/$C$5*(1+$C$8)+$E89*(1+$C$7)*$C$6)</f>
        <v/>
      </c>
      <c r="L89" s="27">
        <f>IF(I89="","",I89/$C$5*(1+$C$8)+$E89*(1+$C$7)*$C$6)</f>
        <v/>
      </c>
      <c r="M89" s="28">
        <f>IF(J89="","",ROUND(J89*(1+$C$9),2))</f>
        <v/>
      </c>
      <c r="N89" s="28">
        <f>IF(K89="","",ROUND(K89*(1+$C$9),2))</f>
        <v/>
      </c>
      <c r="O89" s="28">
        <f>IF(L89="","",ROUND(L89*(1+$C$9),2))</f>
        <v/>
      </c>
      <c r="P89" s="29">
        <f>TRIM(IF($B89="NOT ASSIGNED","No NW part no. ","")&amp;IFERROR(IF(INDEX(Conversion!$J$2:$J$500,MATCH($A89,Conversion!$B$2:$B$500,0))="Needs review","Conversion table: needs review. ",""),"")&amp;IF(LEFT($F89,8)="ESTIMATE","Weight estimated. ","")&amp;"")</f>
        <v/>
      </c>
    </row>
    <row r="90">
      <c r="A90" s="19" t="inlineStr">
        <is>
          <t>BMBTL01-B</t>
        </is>
      </c>
      <c r="B90" s="20">
        <f>IFERROR(INDEX(Conversion!$C$2:$C$500,MATCH($A90,Conversion!$B$2:$B$500,0)),"NOT ASSIGNED")</f>
        <v/>
      </c>
      <c r="C90" s="21" t="inlineStr">
        <is>
          <t>Brass "baby" water gun, back trigger, 1/2" male outlet, blue</t>
        </is>
      </c>
      <c r="D90" s="22" t="inlineStr">
        <is>
          <t>Baby WD gun, rear trigger, 1/2" M outlet, blue, brass</t>
        </is>
      </c>
      <c r="E90" s="30" t="n">
        <v>0.65</v>
      </c>
      <c r="F90" s="24" t="inlineStr">
        <is>
          <t>ESTIMATE - not in catalogue; taken as BMBNN01-B</t>
        </is>
      </c>
      <c r="G90" s="25" t="n">
        <v>23.516262</v>
      </c>
      <c r="H90" s="25" t="n">
        <v>20.903344</v>
      </c>
      <c r="I90" s="26" t="n"/>
      <c r="J90" s="27">
        <f>IF(G90="","",G90/$C$5*(1+$C$8)+$E90*(1+$C$7)*$C$6)</f>
        <v/>
      </c>
      <c r="K90" s="27">
        <f>IF(H90="","",H90/$C$5*(1+$C$8)+$E90*(1+$C$7)*$C$6)</f>
        <v/>
      </c>
      <c r="L90" s="27">
        <f>IF(I90="","",I90/$C$5*(1+$C$8)+$E90*(1+$C$7)*$C$6)</f>
        <v/>
      </c>
      <c r="M90" s="28">
        <f>IF(J90="","",ROUND(J90*(1+$C$9),2))</f>
        <v/>
      </c>
      <c r="N90" s="28">
        <f>IF(K90="","",ROUND(K90*(1+$C$9),2))</f>
        <v/>
      </c>
      <c r="O90" s="28">
        <f>IF(L90="","",ROUND(L90*(1+$C$9),2))</f>
        <v/>
      </c>
      <c r="P90" s="29">
        <f>TRIM(IF($B90="NOT ASSIGNED","No NW part no. ","")&amp;IFERROR(IF(INDEX(Conversion!$J$2:$J$500,MATCH($A90,Conversion!$B$2:$B$500,0))="Needs review","Conversion table: needs review. ",""),"")&amp;IF(LEFT($F90,8)="ESTIMATE","Weight estimated. ","")&amp;"")</f>
        <v/>
      </c>
    </row>
    <row r="91">
      <c r="A91" s="19" t="inlineStr">
        <is>
          <t>BMBTA01-B</t>
        </is>
      </c>
      <c r="B91" s="20">
        <f>IFERROR(INDEX(Conversion!$C$2:$C$500,MATCH($A91,Conversion!$B$2:$B$500,0)),"NOT ASSIGNED")</f>
        <v/>
      </c>
      <c r="C91" s="21" t="inlineStr">
        <is>
          <t>Brass "baby" water gun, back trigger, adapter output, blue</t>
        </is>
      </c>
      <c r="D91" s="22" t="inlineStr">
        <is>
          <t>Baby WD gun, rear trigger, adapter outlet, blue, brass</t>
        </is>
      </c>
      <c r="E91" s="30" t="n">
        <v>0.65</v>
      </c>
      <c r="F91" s="24" t="inlineStr">
        <is>
          <t>ESTIMATE - not in catalogue; taken as BMBNN01-B</t>
        </is>
      </c>
      <c r="G91" s="25" t="n">
        <v>23.516262</v>
      </c>
      <c r="H91" s="25" t="n">
        <v>20.903344</v>
      </c>
      <c r="I91" s="26" t="n"/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","")&amp;"")</f>
        <v/>
      </c>
    </row>
    <row r="92">
      <c r="A92" s="19" t="inlineStr">
        <is>
          <t>BMBTA02-B-V</t>
        </is>
      </c>
      <c r="B92" s="20">
        <f>IFERROR(INDEX(Conversion!$C$2:$C$500,MATCH($A92,Conversion!$B$2:$B$500,0)),"NOT ASSIGNED")</f>
        <v/>
      </c>
      <c r="C92" s="21" t="inlineStr">
        <is>
          <t>Brass "baby" water gun, back trigger, adapter output, viton seals, blue</t>
        </is>
      </c>
      <c r="D92" s="22" t="inlineStr">
        <is>
          <t>Baby WD gun, rear trigger, adapter outlet, Viton seals, blue, brass</t>
        </is>
      </c>
      <c r="E92" s="30" t="n">
        <v>0.65</v>
      </c>
      <c r="F92" s="24" t="inlineStr">
        <is>
          <t>ESTIMATE - not in catalogue; taken as BMBNN01-B</t>
        </is>
      </c>
      <c r="G92" s="25" t="n">
        <v>23.516262</v>
      </c>
      <c r="H92" s="25" t="n">
        <v>20.903344</v>
      </c>
      <c r="I92" s="26" t="n"/>
      <c r="J92" s="27">
        <f>IF(G92="","",G92/$C$5*(1+$C$8)+$E92*(1+$C$7)*$C$6)</f>
        <v/>
      </c>
      <c r="K92" s="27">
        <f>IF(H92="","",H92/$C$5*(1+$C$8)+$E92*(1+$C$7)*$C$6)</f>
        <v/>
      </c>
      <c r="L92" s="27">
        <f>IF(I92="","",I92/$C$5*(1+$C$8)+$E92*(1+$C$7)*$C$6)</f>
        <v/>
      </c>
      <c r="M92" s="28">
        <f>IF(J92="","",ROUND(J92*(1+$C$9),2))</f>
        <v/>
      </c>
      <c r="N92" s="28">
        <f>IF(K92="","",ROUND(K92*(1+$C$9),2))</f>
        <v/>
      </c>
      <c r="O92" s="28">
        <f>IF(L92="","",ROUND(L92*(1+$C$9),2))</f>
        <v/>
      </c>
      <c r="P92" s="29">
        <f>TRIM(IF($B92="NOT ASSIGNED","No NW part no. ","")&amp;IFERROR(IF(INDEX(Conversion!$J$2:$J$500,MATCH($A92,Conversion!$B$2:$B$500,0))="Needs review","Conversion table: needs review. ",""),"")&amp;IF(LEFT($F92,8)="ESTIMATE","Weight estimated. ","")&amp;"")</f>
        <v/>
      </c>
    </row>
    <row r="94">
      <c r="A94" s="14" t="inlineStr">
        <is>
          <t>Other water guns</t>
        </is>
      </c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</row>
    <row r="96">
      <c r="A96" s="16" t="inlineStr">
        <is>
          <t>Qty break</t>
        </is>
      </c>
      <c r="B96" s="17" t="n"/>
      <c r="C96" s="17" t="n"/>
      <c r="D96" s="17" t="n"/>
      <c r="E96" s="17" t="n"/>
      <c r="F96" s="17" t="n"/>
      <c r="G96" s="18" t="inlineStr">
        <is>
          <t>&lt; 10 pcs</t>
        </is>
      </c>
      <c r="H96" s="18" t="inlineStr">
        <is>
          <t>≥ 10 pcs</t>
        </is>
      </c>
      <c r="I96" s="18" t="inlineStr">
        <is>
          <t>≥ 50 pcs</t>
        </is>
      </c>
      <c r="J96" s="18" t="inlineStr">
        <is>
          <t>&lt; 10 pcs</t>
        </is>
      </c>
      <c r="K96" s="18" t="inlineStr">
        <is>
          <t>≥ 10 pcs</t>
        </is>
      </c>
      <c r="L96" s="18" t="inlineStr">
        <is>
          <t>≥ 50 pcs</t>
        </is>
      </c>
      <c r="M96" s="18" t="inlineStr">
        <is>
          <t>&lt; 10 pcs</t>
        </is>
      </c>
      <c r="N96" s="18" t="inlineStr">
        <is>
          <t>≥ 10 pcs</t>
        </is>
      </c>
      <c r="O96" s="18" t="inlineStr">
        <is>
          <t>≥ 50 pcs</t>
        </is>
      </c>
      <c r="P96" s="17" t="n"/>
    </row>
    <row r="97">
      <c r="A97" s="19" t="inlineStr">
        <is>
          <t>AGIL572</t>
        </is>
      </c>
      <c r="B97" s="20">
        <f>IFERROR(INDEX(Conversion!$C$2:$C$500,MATCH($A97,Conversion!$B$2:$B$500,0)),"NOT ASSIGNED")</f>
        <v/>
      </c>
      <c r="C97" s="21" t="inlineStr">
        <is>
          <t>Water nozzle light duty, red</t>
        </is>
      </c>
      <c r="D97" s="22" t="inlineStr">
        <is>
          <t>Spray Gun XS Lite, 3/4" GHT outlet, red, chrome-plated zinc</t>
        </is>
      </c>
      <c r="E97" s="23" t="n">
        <v>0.2</v>
      </c>
      <c r="F97" s="24" t="inlineStr">
        <is>
          <t>Cat p.29</t>
        </is>
      </c>
      <c r="G97" s="25" t="n">
        <v>11.19</v>
      </c>
      <c r="H97" s="26" t="n"/>
      <c r="I97" s="26" t="n"/>
      <c r="J97" s="27">
        <f>IF(G97="","",G97/$C$5*(1+$C$8)+$E97*(1+$C$7)*$C$6)</f>
        <v/>
      </c>
      <c r="K97" s="27">
        <f>IF(H97="","",H97/$C$5*(1+$C$8)+$E97*(1+$C$7)*$C$6)</f>
        <v/>
      </c>
      <c r="L97" s="27">
        <f>IF(I97="","",I97/$C$5*(1+$C$8)+$E97*(1+$C$7)*$C$6)</f>
        <v/>
      </c>
      <c r="M97" s="28">
        <f>IF(J97="","",ROUND(J97*(1+$C$9),2))</f>
        <v/>
      </c>
      <c r="N97" s="28">
        <f>IF(K97="","",ROUND(K97*(1+$C$9),2))</f>
        <v/>
      </c>
      <c r="O97" s="28">
        <f>IF(L97="","",ROUND(L97*(1+$C$9),2))</f>
        <v/>
      </c>
      <c r="P97" s="29">
        <f>TRIM(IF($B97="NOT ASSIGNED","No NW part no. ","")&amp;IFERROR(IF(INDEX(Conversion!$J$2:$J$500,MATCH($A97,Conversion!$B$2:$B$500,0))="Needs review","Conversion table: needs review. ",""),"")&amp;IF(LEFT($F97,8)="ESTIMATE","Weight estimated. ","")&amp;"AKBO note at 3rd break: '48pcs 9,87'")</f>
        <v/>
      </c>
    </row>
    <row r="99">
      <c r="A99" s="19" t="inlineStr">
        <is>
          <t>AKMSH03-B</t>
        </is>
      </c>
      <c r="B99" s="20">
        <f>IFERROR(INDEX(Conversion!$C$2:$C$500,MATCH($A99,Conversion!$B$2:$B$500,0)),"NOT ASSIGNED")</f>
        <v/>
      </c>
      <c r="C99" s="21" t="inlineStr">
        <is>
          <t>Brass spray head black, blue handgrip</t>
        </is>
      </c>
      <c r="D99" s="22" t="inlineStr">
        <is>
          <t>Twistflow WD Nozzle, w/ handle, black head / blue handle, brass</t>
        </is>
      </c>
      <c r="E99" s="23" t="n">
        <v>0.525</v>
      </c>
      <c r="F99" s="24" t="inlineStr">
        <is>
          <t>Cat p.54 (head + brass handle)</t>
        </is>
      </c>
      <c r="G99" s="25" t="n">
        <v>40.971216</v>
      </c>
      <c r="H99" s="25" t="n">
        <v>35.849814</v>
      </c>
      <c r="I99" s="25" t="n">
        <v>33.289113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</row>
    <row r="100">
      <c r="A100" s="19" t="inlineStr">
        <is>
          <t>AKMSH03-R</t>
        </is>
      </c>
      <c r="B100" s="20">
        <f>IFERROR(INDEX(Conversion!$C$2:$C$500,MATCH($A100,Conversion!$B$2:$B$500,0)),"NOT ASSIGNED")</f>
        <v/>
      </c>
      <c r="C100" s="21" t="inlineStr">
        <is>
          <t>Brass spray head black, red handgrip</t>
        </is>
      </c>
      <c r="D100" s="22" t="inlineStr">
        <is>
          <t>Twistflow WD Nozzle, w/ handle, black head / red handle, brass</t>
        </is>
      </c>
      <c r="E100" s="23" t="n">
        <v>0.525</v>
      </c>
      <c r="F100" s="24" t="inlineStr">
        <is>
          <t>Cat p.54 (head + brass handle)</t>
        </is>
      </c>
      <c r="G100" s="25" t="n">
        <v>40.971216</v>
      </c>
      <c r="H100" s="25" t="n">
        <v>35.849814</v>
      </c>
      <c r="I100" s="25" t="n">
        <v>33.289113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</row>
    <row r="101">
      <c r="A101" s="19" t="inlineStr">
        <is>
          <t>AKMSH03-W</t>
        </is>
      </c>
      <c r="B101" s="20">
        <f>IFERROR(INDEX(Conversion!$C$2:$C$500,MATCH($A101,Conversion!$B$2:$B$500,0)),"NOT ASSIGNED")</f>
        <v/>
      </c>
      <c r="C101" s="21" t="inlineStr">
        <is>
          <t>Brass spray head black, white handgrip</t>
        </is>
      </c>
      <c r="D101" s="22" t="inlineStr">
        <is>
          <t>Twistflow WD Nozzle, w/ handle, black head / white handle, brass</t>
        </is>
      </c>
      <c r="E101" s="23" t="n">
        <v>0.525</v>
      </c>
      <c r="F101" s="24" t="inlineStr">
        <is>
          <t>Cat p.54 (head + brass handle)</t>
        </is>
      </c>
      <c r="G101" s="25" t="n">
        <v>40.971216</v>
      </c>
      <c r="H101" s="25" t="n">
        <v>35.849814</v>
      </c>
      <c r="I101" s="25" t="n">
        <v>33.289113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</row>
    <row r="102">
      <c r="A102" s="19" t="inlineStr">
        <is>
          <t>AKMSHH4-BL</t>
        </is>
      </c>
      <c r="B102" s="20">
        <f>IFERROR(INDEX(Conversion!$C$2:$C$500,MATCH($A102,Conversion!$B$2:$B$500,0)),"NOT ASSIGNED")</f>
        <v/>
      </c>
      <c r="C102" s="21" t="inlineStr">
        <is>
          <t>Spray head in brass, black with EPDM &amp; Clipperlon seals</t>
        </is>
      </c>
      <c r="D102" s="22" t="inlineStr">
        <is>
          <t>Twistflow WD Nozzle, head only, 1/2" M, black, brass</t>
        </is>
      </c>
      <c r="E102" s="23" t="n">
        <v>0.2</v>
      </c>
      <c r="F102" s="24" t="inlineStr">
        <is>
          <t>Cat p.54 (head only)</t>
        </is>
      </c>
      <c r="G102" s="25" t="n">
        <v>30.457504</v>
      </c>
      <c r="H102" s="25" t="n">
        <v>26.650316</v>
      </c>
      <c r="I102" s="25" t="n">
        <v>24.746722</v>
      </c>
      <c r="J102" s="27">
        <f>IF(G102="","",G102/$C$5*(1+$C$8)+$E102*(1+$C$7)*$C$6)</f>
        <v/>
      </c>
      <c r="K102" s="27">
        <f>IF(H102="","",H102/$C$5*(1+$C$8)+$E102*(1+$C$7)*$C$6)</f>
        <v/>
      </c>
      <c r="L102" s="27">
        <f>IF(I102="","",I102/$C$5*(1+$C$8)+$E102*(1+$C$7)*$C$6)</f>
        <v/>
      </c>
      <c r="M102" s="28">
        <f>IF(J102="","",ROUND(J102*(1+$C$9),2))</f>
        <v/>
      </c>
      <c r="N102" s="28">
        <f>IF(K102="","",ROUND(K102*(1+$C$9),2))</f>
        <v/>
      </c>
      <c r="O102" s="28">
        <f>IF(L102="","",ROUND(L102*(1+$C$9),2))</f>
        <v/>
      </c>
      <c r="P102" s="29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</row>
    <row r="104">
      <c r="A104" s="19" t="inlineStr">
        <is>
          <t>AKRSH03-B</t>
        </is>
      </c>
      <c r="B104" s="20">
        <f>IFERROR(INDEX(Conversion!$C$2:$C$500,MATCH($A104,Conversion!$B$2:$B$500,0)),"NOT ASSIGNED")</f>
        <v/>
      </c>
      <c r="C104" s="21" t="inlineStr">
        <is>
          <t>St.st. spray head black, blue handgrip</t>
        </is>
      </c>
      <c r="D104" s="22" t="inlineStr">
        <is>
          <t>Twistflow WD Nozzle, w/ handle, black head / blue handle, stainless steel</t>
        </is>
      </c>
      <c r="E104" s="23" t="n">
        <v>0.55</v>
      </c>
      <c r="F104" s="24" t="inlineStr">
        <is>
          <t>Cat p.54 (head + st.st. handle)</t>
        </is>
      </c>
      <c r="G104" s="25" t="n">
        <v>47.117312</v>
      </c>
      <c r="H104" s="25" t="n">
        <v>41.227648</v>
      </c>
      <c r="I104" s="25" t="n">
        <v>38.282816</v>
      </c>
      <c r="J104" s="27">
        <f>IF(G104="","",G104/$C$5*(1+$C$8)+$E104*(1+$C$7)*$C$6)</f>
        <v/>
      </c>
      <c r="K104" s="27">
        <f>IF(H104="","",H104/$C$5*(1+$C$8)+$E104*(1+$C$7)*$C$6)</f>
        <v/>
      </c>
      <c r="L104" s="27">
        <f>IF(I104="","",I104/$C$5*(1+$C$8)+$E104*(1+$C$7)*$C$6)</f>
        <v/>
      </c>
      <c r="M104" s="28">
        <f>IF(J104="","",ROUND(J104*(1+$C$9),2))</f>
        <v/>
      </c>
      <c r="N104" s="28">
        <f>IF(K104="","",ROUND(K104*(1+$C$9),2))</f>
        <v/>
      </c>
      <c r="O104" s="28">
        <f>IF(L104="","",ROUND(L104*(1+$C$9),2))</f>
        <v/>
      </c>
      <c r="P104" s="29">
        <f>TRIM(IF($B104="NOT ASSIGNED","No NW part no. ","")&amp;IFERROR(IF(INDEX(Conversion!$J$2:$J$500,MATCH($A104,Conversion!$B$2:$B$500,0))="Needs review","Conversion table: needs review. ",""),"")&amp;IF(LEFT($F104,8)="ESTIMATE","Weight estimated. ","")&amp;"")</f>
        <v/>
      </c>
    </row>
    <row r="105">
      <c r="A105" s="19" t="inlineStr">
        <is>
          <t>AKRSH03-R</t>
        </is>
      </c>
      <c r="B105" s="20">
        <f>IFERROR(INDEX(Conversion!$C$2:$C$500,MATCH($A105,Conversion!$B$2:$B$500,0)),"NOT ASSIGNED")</f>
        <v/>
      </c>
      <c r="C105" s="21" t="inlineStr">
        <is>
          <t>St.st. spray head black, red handgrip</t>
        </is>
      </c>
      <c r="D105" s="22" t="inlineStr">
        <is>
          <t>Twistflow WD Nozzle, w/ handle, black head / red handle, stainless steel</t>
        </is>
      </c>
      <c r="E105" s="23" t="n">
        <v>0.55</v>
      </c>
      <c r="F105" s="24" t="inlineStr">
        <is>
          <t>Cat p.54 (head + st.st. handle)</t>
        </is>
      </c>
      <c r="G105" s="25" t="n">
        <v>47.117312</v>
      </c>
      <c r="H105" s="25" t="n">
        <v>41.227648</v>
      </c>
      <c r="I105" s="25" t="n">
        <v>38.282816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</row>
    <row r="106">
      <c r="A106" s="19" t="inlineStr">
        <is>
          <t>AKRSH03-W</t>
        </is>
      </c>
      <c r="B106" s="20">
        <f>IFERROR(INDEX(Conversion!$C$2:$C$500,MATCH($A106,Conversion!$B$2:$B$500,0)),"NOT ASSIGNED")</f>
        <v/>
      </c>
      <c r="C106" s="21" t="inlineStr">
        <is>
          <t>St.st. spray head black, white handgrip</t>
        </is>
      </c>
      <c r="D106" s="22" t="inlineStr">
        <is>
          <t>Twistflow WD Nozzle, w/ handle, black head / white handle, stainless steel</t>
        </is>
      </c>
      <c r="E106" s="23" t="n">
        <v>0.55</v>
      </c>
      <c r="F106" s="24" t="inlineStr">
        <is>
          <t>Cat p.54 (head + st.st. handle)</t>
        </is>
      </c>
      <c r="G106" s="25" t="n">
        <v>47.117312</v>
      </c>
      <c r="H106" s="25" t="n">
        <v>41.227648</v>
      </c>
      <c r="I106" s="25" t="n">
        <v>38.282816</v>
      </c>
      <c r="J106" s="27">
        <f>IF(G106="","",G106/$C$5*(1+$C$8)+$E106*(1+$C$7)*$C$6)</f>
        <v/>
      </c>
      <c r="K106" s="27">
        <f>IF(H106="","",H106/$C$5*(1+$C$8)+$E106*(1+$C$7)*$C$6)</f>
        <v/>
      </c>
      <c r="L106" s="27">
        <f>IF(I106="","",I106/$C$5*(1+$C$8)+$E106*(1+$C$7)*$C$6)</f>
        <v/>
      </c>
      <c r="M106" s="28">
        <f>IF(J106="","",ROUND(J106*(1+$C$9),2))</f>
        <v/>
      </c>
      <c r="N106" s="28">
        <f>IF(K106="","",ROUND(K106*(1+$C$9),2))</f>
        <v/>
      </c>
      <c r="O106" s="28">
        <f>IF(L106="","",ROUND(L106*(1+$C$9),2))</f>
        <v/>
      </c>
      <c r="P106" s="29">
        <f>TRIM(IF($B106="NOT ASSIGNED","No NW part no. ","")&amp;IFERROR(IF(INDEX(Conversion!$J$2:$J$500,MATCH($A106,Conversion!$B$2:$B$500,0))="Needs review","Conversion table: needs review. ",""),"")&amp;IF(LEFT($F106,8)="ESTIMATE","Weight estimated. ","")&amp;"")</f>
        <v/>
      </c>
    </row>
    <row r="107">
      <c r="A107" s="19" t="inlineStr">
        <is>
          <t>AKRSHW3-W</t>
        </is>
      </c>
      <c r="B107" s="20">
        <f>IFERROR(INDEX(Conversion!$C$2:$C$500,MATCH($A107,Conversion!$B$2:$B$500,0)),"NOT ASSIGNED")</f>
        <v/>
      </c>
      <c r="C107" s="21" t="inlineStr">
        <is>
          <t>St.st. spray head white, white handgrip</t>
        </is>
      </c>
      <c r="D107" s="22" t="inlineStr">
        <is>
          <t>Twistflow WD Nozzle, w/ handle, white head / white handle, stainless steel</t>
        </is>
      </c>
      <c r="E107" s="23" t="n">
        <v>0.55</v>
      </c>
      <c r="F107" s="24" t="inlineStr">
        <is>
          <t>Cat p.54 (head + st.st. handle)</t>
        </is>
      </c>
      <c r="G107" s="25" t="n">
        <v>48.134768</v>
      </c>
      <c r="H107" s="25" t="n">
        <v>42.117922</v>
      </c>
      <c r="I107" s="25" t="n">
        <v>39.109499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</row>
    <row r="108">
      <c r="A108" s="19" t="inlineStr">
        <is>
          <t>AKRSHH4-BL</t>
        </is>
      </c>
      <c r="B108" s="20">
        <f>IFERROR(INDEX(Conversion!$C$2:$C$500,MATCH($A108,Conversion!$B$2:$B$500,0)),"NOT ASSIGNED")</f>
        <v/>
      </c>
      <c r="C108" s="21" t="inlineStr">
        <is>
          <t>Spray head in stainless steel, black with EPDM &amp; Clipperlon seals</t>
        </is>
      </c>
      <c r="D108" s="22" t="inlineStr">
        <is>
          <t>Twistflow WD Nozzle, head only, 1/2" M, black, stainless steel</t>
        </is>
      </c>
      <c r="E108" s="23" t="n">
        <v>0.2</v>
      </c>
      <c r="F108" s="24" t="inlineStr">
        <is>
          <t>Cat p.54 (head only)</t>
        </is>
      </c>
      <c r="G108" s="25" t="n">
        <v>36.553968</v>
      </c>
      <c r="H108" s="25" t="n">
        <v>31.984722</v>
      </c>
      <c r="I108" s="25" t="n">
        <v>29.700099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</row>
    <row r="109">
      <c r="A109" s="19" t="inlineStr">
        <is>
          <t>AKRSHH4-W</t>
        </is>
      </c>
      <c r="B109" s="20">
        <f>IFERROR(INDEX(Conversion!$C$2:$C$500,MATCH($A109,Conversion!$B$2:$B$500,0)),"NOT ASSIGNED")</f>
        <v/>
      </c>
      <c r="C109" s="21" t="inlineStr">
        <is>
          <t>Spray head in stainless steel, white with EPDM &amp; Clipperlon seals</t>
        </is>
      </c>
      <c r="D109" s="22" t="inlineStr">
        <is>
          <t>Twistflow WD Nozzle, head only, 1/2" M, white, stainless steel</t>
        </is>
      </c>
      <c r="E109" s="23" t="n">
        <v>0.2</v>
      </c>
      <c r="F109" s="24" t="inlineStr">
        <is>
          <t>Cat p.54 (head only)</t>
        </is>
      </c>
      <c r="G109" s="25" t="n">
        <v>37.621056</v>
      </c>
      <c r="H109" s="25" t="n">
        <v>32.918424</v>
      </c>
      <c r="I109" s="25" t="n">
        <v>30.567108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</row>
    <row r="111">
      <c r="A111" s="19" t="inlineStr">
        <is>
          <t>AKNSH01-B</t>
        </is>
      </c>
      <c r="B111" s="20">
        <f>IFERROR(INDEX(Conversion!$C$2:$C$500,MATCH($A111,Conversion!$B$2:$B$500,0)),"NOT ASSIGNED")</f>
        <v/>
      </c>
      <c r="C111" s="21" t="inlineStr">
        <is>
          <t>Light weight spray head, blue, 3/4" BSP male</t>
        </is>
      </c>
      <c r="D111" s="22" t="inlineStr">
        <is>
          <t>Twistflow-L Lite nozzle, 3/4" M, blue, polypropylene</t>
        </is>
      </c>
      <c r="E111" s="23" t="n">
        <v>0.245</v>
      </c>
      <c r="F111" s="24" t="inlineStr">
        <is>
          <t>Cat p.56</t>
        </is>
      </c>
      <c r="G111" s="25" t="n">
        <v>29.067808</v>
      </c>
      <c r="H111" s="25" t="n">
        <v>25.434332</v>
      </c>
      <c r="I111" s="25" t="n">
        <v>23.617594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</row>
    <row r="113">
      <c r="A113" s="19" t="inlineStr">
        <is>
          <t>AKMSHHL1-BL</t>
        </is>
      </c>
      <c r="B113" s="20">
        <f>IFERROR(INDEX(Conversion!$C$2:$C$500,MATCH($A113,Conversion!$B$2:$B$500,0)),"NOT ASSIGNED")</f>
        <v/>
      </c>
      <c r="C113" s="21" t="inlineStr">
        <is>
          <t>Brass water saving spray head, black</t>
        </is>
      </c>
      <c r="D113" s="22" t="inlineStr">
        <is>
          <t>Twistflow Lite WD Nozzle, head only, 1/2" M, black, brass</t>
        </is>
      </c>
      <c r="E113" s="30" t="n">
        <v>0.21</v>
      </c>
      <c r="F113" s="24" t="inlineStr">
        <is>
          <t>ESTIMATE - AKMSHL1-B 510 g less GRIPML1-B 300 g (p.53/55)</t>
        </is>
      </c>
      <c r="G113" s="25" t="n">
        <v>19.513648</v>
      </c>
      <c r="H113" s="25" t="n">
        <v>17.074442</v>
      </c>
      <c r="I113" s="25" t="n">
        <v>15.854839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</row>
    <row r="114">
      <c r="A114" s="19" t="inlineStr">
        <is>
          <t>AKMSHL1-B</t>
        </is>
      </c>
      <c r="B114" s="20">
        <f>IFERROR(INDEX(Conversion!$C$2:$C$500,MATCH($A114,Conversion!$B$2:$B$500,0)),"NOT ASSIGNED")</f>
        <v/>
      </c>
      <c r="C114" s="21" t="inlineStr">
        <is>
          <t>Brass water saving spray head with handgrip, blue</t>
        </is>
      </c>
      <c r="D114" s="22" t="inlineStr">
        <is>
          <t>Twistflow Lite WD Nozzle, w/ handle, blue, brass</t>
        </is>
      </c>
      <c r="E114" s="23" t="n">
        <v>0.51</v>
      </c>
      <c r="F114" s="24" t="inlineStr">
        <is>
          <t>Cat p.53</t>
        </is>
      </c>
      <c r="G114" s="25" t="n">
        <v>31.6404</v>
      </c>
      <c r="H114" s="25" t="n">
        <v>27.68535</v>
      </c>
      <c r="I114" s="25" t="n">
        <v>25.707825</v>
      </c>
      <c r="J114" s="27">
        <f>IF(G114="","",G114/$C$5*(1+$C$8)+$E114*(1+$C$7)*$C$6)</f>
        <v/>
      </c>
      <c r="K114" s="27">
        <f>IF(H114="","",H114/$C$5*(1+$C$8)+$E114*(1+$C$7)*$C$6)</f>
        <v/>
      </c>
      <c r="L114" s="27">
        <f>IF(I114="","",I114/$C$5*(1+$C$8)+$E114*(1+$C$7)*$C$6)</f>
        <v/>
      </c>
      <c r="M114" s="28">
        <f>IF(J114="","",ROUND(J114*(1+$C$9),2))</f>
        <v/>
      </c>
      <c r="N114" s="28">
        <f>IF(K114="","",ROUND(K114*(1+$C$9),2))</f>
        <v/>
      </c>
      <c r="O114" s="28">
        <f>IF(L114="","",ROUND(L114*(1+$C$9),2))</f>
        <v/>
      </c>
      <c r="P114" s="29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</row>
    <row r="115">
      <c r="A115" s="19" t="inlineStr">
        <is>
          <t>AKRSHHL1-BL</t>
        </is>
      </c>
      <c r="B115" s="20">
        <f>IFERROR(INDEX(Conversion!$C$2:$C$500,MATCH($A115,Conversion!$B$2:$B$500,0)),"NOT ASSIGNED")</f>
        <v/>
      </c>
      <c r="C115" s="21" t="inlineStr">
        <is>
          <t>St. st. water saving spray head, black</t>
        </is>
      </c>
      <c r="D115" s="22" t="inlineStr">
        <is>
          <t>Twistflow Lite WD Nozzle, head only, 1/2" M, black, stainless steel 304</t>
        </is>
      </c>
      <c r="E115" s="30" t="n">
        <v>0.21</v>
      </c>
      <c r="F115" s="24" t="inlineStr">
        <is>
          <t>ESTIMATE - AKRSHL1-B 550 g less GRIPRL1-B 340 g (p.53/55)</t>
        </is>
      </c>
      <c r="G115" s="25" t="n">
        <v>31.954736</v>
      </c>
      <c r="H115" s="25" t="n">
        <v>27.960394</v>
      </c>
      <c r="I115" s="25" t="n">
        <v>25.963223</v>
      </c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</row>
    <row r="116">
      <c r="A116" s="19" t="inlineStr">
        <is>
          <t>AKRSHL1-B</t>
        </is>
      </c>
      <c r="B116" s="20">
        <f>IFERROR(INDEX(Conversion!$C$2:$C$500,MATCH($A116,Conversion!$B$2:$B$500,0)),"NOT ASSIGNED")</f>
        <v/>
      </c>
      <c r="C116" s="21" t="inlineStr">
        <is>
          <t>St. st. water saving spray head with handgrip, blue</t>
        </is>
      </c>
      <c r="D116" s="22" t="inlineStr">
        <is>
          <t>Twistflow Lite WD Nozzle, w/ handle, blue, stainless steel 304</t>
        </is>
      </c>
      <c r="E116" s="23" t="n">
        <v>0.55</v>
      </c>
      <c r="F116" s="24" t="inlineStr">
        <is>
          <t>Cat p.53</t>
        </is>
      </c>
      <c r="G116" s="25" t="n">
        <v>41.996944</v>
      </c>
      <c r="H116" s="25" t="n">
        <v>36.747326</v>
      </c>
      <c r="I116" s="25" t="n">
        <v>34.122517</v>
      </c>
      <c r="J116" s="27">
        <f>IF(G116="","",G116/$C$5*(1+$C$8)+$E116*(1+$C$7)*$C$6)</f>
        <v/>
      </c>
      <c r="K116" s="27">
        <f>IF(H116="","",H116/$C$5*(1+$C$8)+$E116*(1+$C$7)*$C$6)</f>
        <v/>
      </c>
      <c r="L116" s="27">
        <f>IF(I116="","",I116/$C$5*(1+$C$8)+$E116*(1+$C$7)*$C$6)</f>
        <v/>
      </c>
      <c r="M116" s="28">
        <f>IF(J116="","",ROUND(J116*(1+$C$9),2))</f>
        <v/>
      </c>
      <c r="N116" s="28">
        <f>IF(K116="","",ROUND(K116*(1+$C$9),2))</f>
        <v/>
      </c>
      <c r="O116" s="28">
        <f>IF(L116="","",ROUND(L116*(1+$C$9),2))</f>
        <v/>
      </c>
      <c r="P116" s="29">
        <f>TRIM(IF($B116="NOT ASSIGNED","No NW part no. ","")&amp;IFERROR(IF(INDEX(Conversion!$J$2:$J$500,MATCH($A116,Conversion!$B$2:$B$500,0))="Needs review","Conversion table: needs review. ",""),"")&amp;IF(LEFT($F116,8)="ESTIMATE","Weight estimated. ","")&amp;"")</f>
        <v/>
      </c>
    </row>
    <row r="117">
      <c r="A117" s="19" t="inlineStr">
        <is>
          <t>AKRSHL1-W</t>
        </is>
      </c>
      <c r="B117" s="20">
        <f>IFERROR(INDEX(Conversion!$C$2:$C$500,MATCH($A117,Conversion!$B$2:$B$500,0)),"NOT ASSIGNED")</f>
        <v/>
      </c>
      <c r="C117" s="21" t="inlineStr">
        <is>
          <t>St. st. water saving spray head with handgrip, white</t>
        </is>
      </c>
      <c r="D117" s="22" t="inlineStr">
        <is>
          <t>Twistflow Lite WD Nozzle, w/ handle, white, stainless steel 304</t>
        </is>
      </c>
      <c r="E117" s="23" t="n">
        <v>0.55</v>
      </c>
      <c r="F117" s="24" t="inlineStr">
        <is>
          <t>Cat p.53 (as AKRSHL1-B)</t>
        </is>
      </c>
      <c r="G117" s="25" t="n">
        <v>41.996944</v>
      </c>
      <c r="H117" s="25" t="n">
        <v>36.747326</v>
      </c>
      <c r="I117" s="25" t="n">
        <v>34.122517</v>
      </c>
      <c r="J117" s="27">
        <f>IF(G117="","",G117/$C$5*(1+$C$8)+$E117*(1+$C$7)*$C$6)</f>
        <v/>
      </c>
      <c r="K117" s="27">
        <f>IF(H117="","",H117/$C$5*(1+$C$8)+$E117*(1+$C$7)*$C$6)</f>
        <v/>
      </c>
      <c r="L117" s="27">
        <f>IF(I117="","",I117/$C$5*(1+$C$8)+$E117*(1+$C$7)*$C$6)</f>
        <v/>
      </c>
      <c r="M117" s="28">
        <f>IF(J117="","",ROUND(J117*(1+$C$9),2))</f>
        <v/>
      </c>
      <c r="N117" s="28">
        <f>IF(K117="","",ROUND(K117*(1+$C$9),2))</f>
        <v/>
      </c>
      <c r="O117" s="28">
        <f>IF(L117="","",ROUND(L117*(1+$C$9),2))</f>
        <v/>
      </c>
      <c r="P117" s="29">
        <f>TRIM(IF($B117="NOT ASSIGNED","No NW part no. ","")&amp;IFERROR(IF(INDEX(Conversion!$J$2:$J$500,MATCH($A117,Conversion!$B$2:$B$500,0))="Needs review","Conversion table: needs review. ",""),"")&amp;IF(LEFT($F117,8)="ESTIMATE","Weight estimated. ","")&amp;"")</f>
        <v/>
      </c>
    </row>
    <row r="119">
      <c r="A119" s="19" t="inlineStr">
        <is>
          <t>TWRWR02M</t>
        </is>
      </c>
      <c r="B119" s="20">
        <f>IFERROR(INDEX(Conversion!$C$2:$C$500,MATCH($A119,Conversion!$B$2:$B$500,0)),"NOT ASSIGNED")</f>
        <v/>
      </c>
      <c r="C119" s="21" t="inlineStr">
        <is>
          <t>St. st. industrial spray head Twister M, white with red protection, inlet 1/2" BSP male</t>
        </is>
      </c>
      <c r="D119" s="22" t="inlineStr">
        <is>
          <t>Twistflow M WD Nozzle, 1/2" BSPP M, 60° cone, white / red guard, stainless steel 304</t>
        </is>
      </c>
      <c r="E119" s="23" t="n">
        <v>0.345</v>
      </c>
      <c r="F119" s="24" t="inlineStr">
        <is>
          <t>Cat p.57</t>
        </is>
      </c>
      <c r="G119" s="25" t="n">
        <v>47.307568</v>
      </c>
      <c r="H119" s="25" t="n">
        <v>41.394122</v>
      </c>
      <c r="I119" s="25" t="n">
        <v>38.437399</v>
      </c>
      <c r="J119" s="27">
        <f>IF(G119="","",G119/$C$5*(1+$C$8)+$E119*(1+$C$7)*$C$6)</f>
        <v/>
      </c>
      <c r="K119" s="27">
        <f>IF(H119="","",H119/$C$5*(1+$C$8)+$E119*(1+$C$7)*$C$6)</f>
        <v/>
      </c>
      <c r="L119" s="27">
        <f>IF(I119="","",I119/$C$5*(1+$C$8)+$E119*(1+$C$7)*$C$6)</f>
        <v/>
      </c>
      <c r="M119" s="28">
        <f>IF(J119="","",ROUND(J119*(1+$C$9),2))</f>
        <v/>
      </c>
      <c r="N119" s="28">
        <f>IF(K119="","",ROUND(K119*(1+$C$9),2))</f>
        <v/>
      </c>
      <c r="O119" s="28">
        <f>IF(L119="","",ROUND(L119*(1+$C$9),2))</f>
        <v/>
      </c>
      <c r="P119" s="29">
        <f>TRIM(IF($B119="NOT ASSIGNED","No NW part no. ","")&amp;IFERROR(IF(INDEX(Conversion!$J$2:$J$500,MATCH($A119,Conversion!$B$2:$B$500,0))="Needs review","Conversion table: needs review. ",""),"")&amp;IF(LEFT($F119,8)="ESTIMATE","Weight estimated. ","")&amp;"")</f>
        <v/>
      </c>
    </row>
    <row r="120">
      <c r="A120" s="19" t="inlineStr">
        <is>
          <t>TWRWR02L</t>
        </is>
      </c>
      <c r="B120" s="20">
        <f>IFERROR(INDEX(Conversion!$C$2:$C$500,MATCH($A120,Conversion!$B$2:$B$500,0)),"NOT ASSIGNED")</f>
        <v/>
      </c>
      <c r="C120" s="21" t="inlineStr">
        <is>
          <t>St. st. industrial spray head Twister L, white with red protection, inlet 3/4" BSP male</t>
        </is>
      </c>
      <c r="D120" s="22" t="inlineStr">
        <is>
          <t>Twistflow L WD Nozzle, 3/4" BSPP M, 60° cone, white / red guard, stainless steel 304</t>
        </is>
      </c>
      <c r="E120" s="23" t="n">
        <v>0.48</v>
      </c>
      <c r="F120" s="24" t="inlineStr">
        <is>
          <t>Cat p.57</t>
        </is>
      </c>
      <c r="G120" s="25" t="n">
        <v>56.406768</v>
      </c>
      <c r="H120" s="25" t="n">
        <v>49.355922</v>
      </c>
      <c r="I120" s="25" t="n">
        <v>45.830499</v>
      </c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</row>
    <row r="121">
      <c r="A121" s="19" t="inlineStr">
        <is>
          <t>TWRWR02XL</t>
        </is>
      </c>
      <c r="B121" s="20">
        <f>IFERROR(INDEX(Conversion!$C$2:$C$500,MATCH($A121,Conversion!$B$2:$B$500,0)),"NOT ASSIGNED")</f>
        <v/>
      </c>
      <c r="C121" s="21" t="inlineStr">
        <is>
          <t>St. st. industrial spray head Twister XL, white with red protection, inlet 1" BSP male</t>
        </is>
      </c>
      <c r="D121" s="22" t="inlineStr">
        <is>
          <t>Twistflow XL WD Nozzle, 1" BSPP M, 60° cone, white / red guard, stainless steel 304</t>
        </is>
      </c>
      <c r="E121" s="23" t="n">
        <v>0.8</v>
      </c>
      <c r="F121" s="24" t="inlineStr">
        <is>
          <t>Cat p.57</t>
        </is>
      </c>
      <c r="G121" s="25" t="n">
        <v>60.046448</v>
      </c>
      <c r="H121" s="25" t="n">
        <v>52.540642</v>
      </c>
      <c r="I121" s="25" t="n">
        <v>48.787739</v>
      </c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</row>
    <row r="123">
      <c r="A123" s="19" t="inlineStr">
        <is>
          <t>AKAWLU1-B</t>
        </is>
      </c>
      <c r="B123" s="20">
        <f>IFERROR(INDEX(Conversion!$C$2:$C$500,MATCH($A123,Conversion!$B$2:$B$500,0)),"NOT ASSIGNED")</f>
        <v/>
      </c>
      <c r="C123" s="21" t="inlineStr">
        <is>
          <t>Air/water gun, blue</t>
        </is>
      </c>
      <c r="D123" s="22" t="inlineStr">
        <is>
          <t>Air-Boosted WD gun, 2x 10 mm hose tails (air &amp; water), blue, aluminium</t>
        </is>
      </c>
      <c r="E123" s="23" t="n">
        <v>0.8</v>
      </c>
      <c r="F123" s="24" t="inlineStr">
        <is>
          <t>Cat p.27</t>
        </is>
      </c>
      <c r="G123" s="25" t="n">
        <v>76.34999999999999</v>
      </c>
      <c r="H123" s="26" t="n"/>
      <c r="I123" s="25" t="n">
        <v>66.81</v>
      </c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","")&amp;"AKBO note at break 3: '20pcs 66,81' - price keyed in.")</f>
        <v/>
      </c>
    </row>
    <row r="125">
      <c r="A125" s="16" t="inlineStr">
        <is>
          <t>Water Saver</t>
        </is>
      </c>
      <c r="B125" s="17" t="n"/>
      <c r="C125" s="17" t="n"/>
      <c r="D125" s="17" t="n"/>
      <c r="E125" s="17" t="n"/>
      <c r="F125" s="17" t="n"/>
      <c r="G125" s="18" t="inlineStr">
        <is>
          <t>&lt; 10 pcs</t>
        </is>
      </c>
      <c r="H125" s="18" t="inlineStr">
        <is>
          <t>≥ 10 pcs</t>
        </is>
      </c>
      <c r="I125" s="18" t="inlineStr">
        <is>
          <t>≥ 50 pcs</t>
        </is>
      </c>
      <c r="J125" s="18" t="inlineStr">
        <is>
          <t>&lt; 10 pcs</t>
        </is>
      </c>
      <c r="K125" s="18" t="inlineStr">
        <is>
          <t>≥ 10 pcs</t>
        </is>
      </c>
      <c r="L125" s="18" t="inlineStr">
        <is>
          <t>≥ 50 pcs</t>
        </is>
      </c>
      <c r="M125" s="18" t="inlineStr">
        <is>
          <t>&lt; 10 pcs</t>
        </is>
      </c>
      <c r="N125" s="18" t="inlineStr">
        <is>
          <t>≥ 10 pcs</t>
        </is>
      </c>
      <c r="O125" s="18" t="inlineStr">
        <is>
          <t>≥ 50 pcs</t>
        </is>
      </c>
      <c r="P125" s="17" t="n"/>
    </row>
    <row r="126">
      <c r="A126" s="19" t="inlineStr">
        <is>
          <t>AKWMS01</t>
        </is>
      </c>
      <c r="B126" s="20">
        <f>IFERROR(INDEX(Conversion!$C$2:$C$500,MATCH($A126,Conversion!$B$2:$B$500,0)),"NOT ASSIGNED")</f>
        <v/>
      </c>
      <c r="C126" s="21" t="inlineStr">
        <is>
          <t>Water saver brass; model S; 3/4" female</t>
        </is>
      </c>
      <c r="D126" s="22" t="inlineStr">
        <is>
          <t>Water Saver nozzle, model S, flat spray, 3/4" F, brass</t>
        </is>
      </c>
      <c r="E126" s="30" t="n">
        <v>0.3</v>
      </c>
      <c r="F126" s="24" t="inlineStr">
        <is>
          <t>ESTIMATE - weight not in catalogue (p.45)</t>
        </is>
      </c>
      <c r="G126" s="25" t="n">
        <v>34.803</v>
      </c>
      <c r="H126" s="25" t="n">
        <v>30.94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</row>
    <row r="127">
      <c r="A127" s="19" t="inlineStr">
        <is>
          <t>AKWMM01</t>
        </is>
      </c>
      <c r="B127" s="20">
        <f>IFERROR(INDEX(Conversion!$C$2:$C$500,MATCH($A127,Conversion!$B$2:$B$500,0)),"NOT ASSIGNED")</f>
        <v/>
      </c>
      <c r="C127" s="21" t="inlineStr">
        <is>
          <t>Water saver brass; model M; 3/4" female</t>
        </is>
      </c>
      <c r="D127" s="22" t="inlineStr">
        <is>
          <t>Water Saver nozzle, model M, 13 mm orifice, 3/4" F, brass</t>
        </is>
      </c>
      <c r="E127" s="30" t="n">
        <v>0.3</v>
      </c>
      <c r="F127" s="24" t="inlineStr">
        <is>
          <t>ESTIMATE - weight not in catalogue (p.45)</t>
        </is>
      </c>
      <c r="G127" s="25" t="n">
        <v>34.803</v>
      </c>
      <c r="H127" s="25" t="n">
        <v>30.94</v>
      </c>
      <c r="I127" s="26" t="n"/>
      <c r="J127" s="27">
        <f>IF(G127="","",G127/$C$5*(1+$C$8)+$E127*(1+$C$7)*$C$6)</f>
        <v/>
      </c>
      <c r="K127" s="27">
        <f>IF(H127="","",H127/$C$5*(1+$C$8)+$E127*(1+$C$7)*$C$6)</f>
        <v/>
      </c>
      <c r="L127" s="27">
        <f>IF(I127="","",I127/$C$5*(1+$C$8)+$E127*(1+$C$7)*$C$6)</f>
        <v/>
      </c>
      <c r="M127" s="28">
        <f>IF(J127="","",ROUND(J127*(1+$C$9),2))</f>
        <v/>
      </c>
      <c r="N127" s="28">
        <f>IF(K127="","",ROUND(K127*(1+$C$9),2))</f>
        <v/>
      </c>
      <c r="O127" s="28">
        <f>IF(L127="","",ROUND(L127*(1+$C$9),2))</f>
        <v/>
      </c>
      <c r="P127" s="29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</row>
    <row r="128">
      <c r="A128" s="19" t="inlineStr">
        <is>
          <t>AKWML01</t>
        </is>
      </c>
      <c r="B128" s="20">
        <f>IFERROR(INDEX(Conversion!$C$2:$C$500,MATCH($A128,Conversion!$B$2:$B$500,0)),"NOT ASSIGNED")</f>
        <v/>
      </c>
      <c r="C128" s="21" t="inlineStr">
        <is>
          <t>Water saver brass; model L; 3/4" female</t>
        </is>
      </c>
      <c r="D128" s="22" t="inlineStr">
        <is>
          <t>Water Saver nozzle, model L, 9 mm orifice, 3/4" F, brass</t>
        </is>
      </c>
      <c r="E128" s="30" t="n">
        <v>0.3</v>
      </c>
      <c r="F128" s="24" t="inlineStr">
        <is>
          <t>ESTIMATE - weight not in catalogue (p.45)</t>
        </is>
      </c>
      <c r="G128" s="25" t="n">
        <v>34.803</v>
      </c>
      <c r="H128" s="25" t="n">
        <v>30.94</v>
      </c>
      <c r="I128" s="26" t="n"/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</row>
    <row r="129">
      <c r="A129" s="19" t="inlineStr">
        <is>
          <t>AKWMR01</t>
        </is>
      </c>
      <c r="B129" s="20">
        <f>IFERROR(INDEX(Conversion!$C$2:$C$500,MATCH($A129,Conversion!$B$2:$B$500,0)),"NOT ASSIGNED")</f>
        <v/>
      </c>
      <c r="C129" s="21" t="inlineStr">
        <is>
          <t>Water saver brass; model R; 3/4" female</t>
        </is>
      </c>
      <c r="D129" s="22" t="inlineStr">
        <is>
          <t>Water Saver nozzle, model R, 4.5 mm orifice, 3/4" F, brass</t>
        </is>
      </c>
      <c r="E129" s="30" t="n">
        <v>0.3</v>
      </c>
      <c r="F129" s="24" t="inlineStr">
        <is>
          <t>ESTIMATE - weight not in catalogue (p.45)</t>
        </is>
      </c>
      <c r="G129" s="25" t="n">
        <v>34.803</v>
      </c>
      <c r="H129" s="25" t="n">
        <v>30.94</v>
      </c>
      <c r="I129" s="26" t="n"/>
      <c r="J129" s="27">
        <f>IF(G129="","",G129/$C$5*(1+$C$8)+$E129*(1+$C$7)*$C$6)</f>
        <v/>
      </c>
      <c r="K129" s="27">
        <f>IF(H129="","",H129/$C$5*(1+$C$8)+$E129*(1+$C$7)*$C$6)</f>
        <v/>
      </c>
      <c r="L129" s="27">
        <f>IF(I129="","",I129/$C$5*(1+$C$8)+$E129*(1+$C$7)*$C$6)</f>
        <v/>
      </c>
      <c r="M129" s="28">
        <f>IF(J129="","",ROUND(J129*(1+$C$9),2))</f>
        <v/>
      </c>
      <c r="N129" s="28">
        <f>IF(K129="","",ROUND(K129*(1+$C$9),2))</f>
        <v/>
      </c>
      <c r="O129" s="28">
        <f>IF(L129="","",ROUND(L129*(1+$C$9),2))</f>
        <v/>
      </c>
      <c r="P129" s="29">
        <f>TRIM(IF($B129="NOT ASSIGNED","No NW part no. ","")&amp;IFERROR(IF(INDEX(Conversion!$J$2:$J$500,MATCH($A129,Conversion!$B$2:$B$500,0))="Needs review","Conversion table: needs review. ",""),"")&amp;IF(LEFT($F129,8)="ESTIMATE","Weight estimated. ","")&amp;"")</f>
        <v/>
      </c>
    </row>
    <row r="131">
      <c r="A131" s="19" t="inlineStr">
        <is>
          <t>AKWRS01</t>
        </is>
      </c>
      <c r="B131" s="20">
        <f>IFERROR(INDEX(Conversion!$C$2:$C$500,MATCH($A131,Conversion!$B$2:$B$500,0)),"NOT ASSIGNED")</f>
        <v/>
      </c>
      <c r="C131" s="21" t="inlineStr">
        <is>
          <t>Water saver stainless steel; model S; 3/4" female</t>
        </is>
      </c>
      <c r="D131" s="22" t="inlineStr">
        <is>
          <t>Water Saver nozzle, model S, flat spray, 3/4" F, stainless steel 304</t>
        </is>
      </c>
      <c r="E131" s="30" t="n">
        <v>0.3</v>
      </c>
      <c r="F131" s="24" t="inlineStr">
        <is>
          <t>ESTIMATE - weight not in catalogue (p.45)</t>
        </is>
      </c>
      <c r="G131" s="25" t="n">
        <v>88.84128</v>
      </c>
      <c r="H131" s="25" t="n">
        <v>83.28870000000001</v>
      </c>
      <c r="I131" s="26" t="n"/>
      <c r="J131" s="27">
        <f>IF(G131="","",G131/$C$5*(1+$C$8)+$E131*(1+$C$7)*$C$6)</f>
        <v/>
      </c>
      <c r="K131" s="27">
        <f>IF(H131="","",H131/$C$5*(1+$C$8)+$E131*(1+$C$7)*$C$6)</f>
        <v/>
      </c>
      <c r="L131" s="27">
        <f>IF(I131="","",I131/$C$5*(1+$C$8)+$E131*(1+$C$7)*$C$6)</f>
        <v/>
      </c>
      <c r="M131" s="28">
        <f>IF(J131="","",ROUND(J131*(1+$C$9),2))</f>
        <v/>
      </c>
      <c r="N131" s="28">
        <f>IF(K131="","",ROUND(K131*(1+$C$9),2))</f>
        <v/>
      </c>
      <c r="O131" s="28">
        <f>IF(L131="","",ROUND(L131*(1+$C$9),2))</f>
        <v/>
      </c>
      <c r="P131" s="29">
        <f>TRIM(IF($B131="NOT ASSIGNED","No NW part no. ","")&amp;IFERROR(IF(INDEX(Conversion!$J$2:$J$500,MATCH($A131,Conversion!$B$2:$B$500,0))="Needs review","Conversion table: needs review. ",""),"")&amp;IF(LEFT($F131,8)="ESTIMATE","Weight estimated. ","")&amp;"")</f>
        <v/>
      </c>
    </row>
    <row r="132">
      <c r="A132" s="19" t="inlineStr">
        <is>
          <t>AKWRM01</t>
        </is>
      </c>
      <c r="B132" s="20">
        <f>IFERROR(INDEX(Conversion!$C$2:$C$500,MATCH($A132,Conversion!$B$2:$B$500,0)),"NOT ASSIGNED")</f>
        <v/>
      </c>
      <c r="C132" s="21" t="inlineStr">
        <is>
          <t>Water saver stainless steel; model M; 3/4" female</t>
        </is>
      </c>
      <c r="D132" s="22" t="inlineStr">
        <is>
          <t>Water Saver nozzle, model M, 13 mm orifice, 3/4" F, stainless steel 304</t>
        </is>
      </c>
      <c r="E132" s="30" t="n">
        <v>0.3</v>
      </c>
      <c r="F132" s="24" t="inlineStr">
        <is>
          <t>ESTIMATE - weight not in catalogue (p.45)</t>
        </is>
      </c>
      <c r="G132" s="25" t="n">
        <v>88.84128</v>
      </c>
      <c r="H132" s="25" t="n">
        <v>83.28870000000001</v>
      </c>
      <c r="I132" s="26" t="n"/>
      <c r="J132" s="27">
        <f>IF(G132="","",G132/$C$5*(1+$C$8)+$E132*(1+$C$7)*$C$6)</f>
        <v/>
      </c>
      <c r="K132" s="27">
        <f>IF(H132="","",H132/$C$5*(1+$C$8)+$E132*(1+$C$7)*$C$6)</f>
        <v/>
      </c>
      <c r="L132" s="27">
        <f>IF(I132="","",I132/$C$5*(1+$C$8)+$E132*(1+$C$7)*$C$6)</f>
        <v/>
      </c>
      <c r="M132" s="28">
        <f>IF(J132="","",ROUND(J132*(1+$C$9),2))</f>
        <v/>
      </c>
      <c r="N132" s="28">
        <f>IF(K132="","",ROUND(K132*(1+$C$9),2))</f>
        <v/>
      </c>
      <c r="O132" s="28">
        <f>IF(L132="","",ROUND(L132*(1+$C$9),2))</f>
        <v/>
      </c>
      <c r="P132" s="29">
        <f>TRIM(IF($B132="NOT ASSIGNED","No NW part no. ","")&amp;IFERROR(IF(INDEX(Conversion!$J$2:$J$500,MATCH($A132,Conversion!$B$2:$B$500,0))="Needs review","Conversion table: needs review. ",""),"")&amp;IF(LEFT($F132,8)="ESTIMATE","Weight estimated. ","")&amp;"")</f>
        <v/>
      </c>
    </row>
    <row r="133">
      <c r="A133" s="19" t="inlineStr">
        <is>
          <t>AKWRL01</t>
        </is>
      </c>
      <c r="B133" s="20">
        <f>IFERROR(INDEX(Conversion!$C$2:$C$500,MATCH($A133,Conversion!$B$2:$B$500,0)),"NOT ASSIGNED")</f>
        <v/>
      </c>
      <c r="C133" s="21" t="inlineStr">
        <is>
          <t>Water saver stainless steel; model L; 3/4" female</t>
        </is>
      </c>
      <c r="D133" s="22" t="inlineStr">
        <is>
          <t>Water Saver nozzle, model L, 9 mm orifice, 3/4" F, stainless steel 304</t>
        </is>
      </c>
      <c r="E133" s="30" t="n">
        <v>0.3</v>
      </c>
      <c r="F133" s="24" t="inlineStr">
        <is>
          <t>ESTIMATE - weight not in catalogue (p.45)</t>
        </is>
      </c>
      <c r="G133" s="25" t="n">
        <v>88.84128</v>
      </c>
      <c r="H133" s="25" t="n">
        <v>83.28870000000001</v>
      </c>
      <c r="I133" s="26" t="n"/>
      <c r="J133" s="27">
        <f>IF(G133="","",G133/$C$5*(1+$C$8)+$E133*(1+$C$7)*$C$6)</f>
        <v/>
      </c>
      <c r="K133" s="27">
        <f>IF(H133="","",H133/$C$5*(1+$C$8)+$E133*(1+$C$7)*$C$6)</f>
        <v/>
      </c>
      <c r="L133" s="27">
        <f>IF(I133="","",I133/$C$5*(1+$C$8)+$E133*(1+$C$7)*$C$6)</f>
        <v/>
      </c>
      <c r="M133" s="28">
        <f>IF(J133="","",ROUND(J133*(1+$C$9),2))</f>
        <v/>
      </c>
      <c r="N133" s="28">
        <f>IF(K133="","",ROUND(K133*(1+$C$9),2))</f>
        <v/>
      </c>
      <c r="O133" s="28">
        <f>IF(L133="","",ROUND(L133*(1+$C$9),2))</f>
        <v/>
      </c>
      <c r="P133" s="29">
        <f>TRIM(IF($B133="NOT ASSIGNED","No NW part no. ","")&amp;IFERROR(IF(INDEX(Conversion!$J$2:$J$500,MATCH($A133,Conversion!$B$2:$B$500,0))="Needs review","Conversion table: needs review. ",""),"")&amp;IF(LEFT($F133,8)="ESTIMATE","Weight estimated. ","")&amp;"")</f>
        <v/>
      </c>
    </row>
    <row r="134">
      <c r="A134" s="19" t="inlineStr">
        <is>
          <t>AKWRR01</t>
        </is>
      </c>
      <c r="B134" s="20">
        <f>IFERROR(INDEX(Conversion!$C$2:$C$500,MATCH($A134,Conversion!$B$2:$B$500,0)),"NOT ASSIGNED")</f>
        <v/>
      </c>
      <c r="C134" s="21" t="inlineStr">
        <is>
          <t>Water saver stainless steel; model R; 3/4" female</t>
        </is>
      </c>
      <c r="D134" s="22" t="inlineStr">
        <is>
          <t>Water Saver nozzle, model R, 4.5 mm orifice, 3/4" F, stainless steel 304</t>
        </is>
      </c>
      <c r="E134" s="30" t="n">
        <v>0.3</v>
      </c>
      <c r="F134" s="24" t="inlineStr">
        <is>
          <t>ESTIMATE - weight not in catalogue (p.45)</t>
        </is>
      </c>
      <c r="G134" s="25" t="n">
        <v>88.84128</v>
      </c>
      <c r="H134" s="25" t="n">
        <v>83.28870000000001</v>
      </c>
      <c r="I134" s="26" t="n"/>
      <c r="J134" s="27">
        <f>IF(G134="","",G134/$C$5*(1+$C$8)+$E134*(1+$C$7)*$C$6)</f>
        <v/>
      </c>
      <c r="K134" s="27">
        <f>IF(H134="","",H134/$C$5*(1+$C$8)+$E134*(1+$C$7)*$C$6)</f>
        <v/>
      </c>
      <c r="L134" s="27">
        <f>IF(I134="","",I134/$C$5*(1+$C$8)+$E134*(1+$C$7)*$C$6)</f>
        <v/>
      </c>
      <c r="M134" s="28">
        <f>IF(J134="","",ROUND(J134*(1+$C$9),2))</f>
        <v/>
      </c>
      <c r="N134" s="28">
        <f>IF(K134="","",ROUND(K134*(1+$C$9),2))</f>
        <v/>
      </c>
      <c r="O134" s="28">
        <f>IF(L134="","",ROUND(L134*(1+$C$9),2))</f>
        <v/>
      </c>
      <c r="P134" s="29">
        <f>TRIM(IF($B134="NOT ASSIGNED","No NW part no. ","")&amp;IFERROR(IF(INDEX(Conversion!$J$2:$J$500,MATCH($A134,Conversion!$B$2:$B$500,0))="Needs review","Conversion table: needs review. ",""),"")&amp;IF(LEFT($F134,8)="ESTIMATE","Weight estimated. ","")&amp;"")</f>
        <v/>
      </c>
    </row>
    <row r="136">
      <c r="A136" s="19" t="inlineStr">
        <is>
          <t>BWNM045</t>
        </is>
      </c>
      <c r="B136" s="20">
        <f>IFERROR(INDEX(Conversion!$C$2:$C$500,MATCH($A136,Conversion!$B$2:$B$500,0)),"NOT ASSIGNED")</f>
        <v/>
      </c>
      <c r="C136" s="21" t="inlineStr">
        <is>
          <t>Economic Sprayer "Blue Nozzle" brass with EPDM, 4.5mm outlet</t>
        </is>
      </c>
      <c r="D136" s="22" t="inlineStr">
        <is>
          <t>Blue Nozzle sprayer, 4.5 mm outlet, 3/4" F, blue, brass</t>
        </is>
      </c>
      <c r="E136" s="30" t="n">
        <v>0.25</v>
      </c>
      <c r="F136" s="24" t="inlineStr">
        <is>
          <t>ESTIMATE - weight not in catalogue (p.46)</t>
        </is>
      </c>
      <c r="G136" s="25" t="n">
        <v>23.293952</v>
      </c>
      <c r="H136" s="25" t="n">
        <v>21.83808</v>
      </c>
      <c r="I136" s="25" t="n">
        <v>19.799859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</row>
    <row r="138">
      <c r="A138" s="16" t="inlineStr">
        <is>
          <t>Qty break</t>
        </is>
      </c>
      <c r="B138" s="17" t="n"/>
      <c r="C138" s="17" t="n"/>
      <c r="D138" s="17" t="n"/>
      <c r="E138" s="17" t="n"/>
      <c r="F138" s="17" t="n"/>
      <c r="G138" s="18" t="inlineStr">
        <is>
          <t>&lt; 10 pcs</t>
        </is>
      </c>
      <c r="H138" s="18" t="inlineStr">
        <is>
          <t>≥ 10 pcs</t>
        </is>
      </c>
      <c r="I138" s="18" t="inlineStr">
        <is>
          <t>≥ 50 pcs</t>
        </is>
      </c>
      <c r="J138" s="18" t="inlineStr">
        <is>
          <t>&lt; 10 pcs</t>
        </is>
      </c>
      <c r="K138" s="18" t="inlineStr">
        <is>
          <t>≥ 10 pcs</t>
        </is>
      </c>
      <c r="L138" s="18" t="inlineStr">
        <is>
          <t>≥ 50 pcs</t>
        </is>
      </c>
      <c r="M138" s="18" t="inlineStr">
        <is>
          <t>&lt; 10 pcs</t>
        </is>
      </c>
      <c r="N138" s="18" t="inlineStr">
        <is>
          <t>≥ 10 pcs</t>
        </is>
      </c>
      <c r="O138" s="18" t="inlineStr">
        <is>
          <t>≥ 50 pcs</t>
        </is>
      </c>
      <c r="P138" s="17" t="n"/>
    </row>
    <row r="139">
      <c r="A139" s="31" t="inlineStr">
        <is>
          <t>Shower Head</t>
        </is>
      </c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  <c r="O139" s="32" t="n"/>
      <c r="P139" s="32" t="n"/>
    </row>
    <row r="141">
      <c r="A141" s="19" t="inlineStr">
        <is>
          <t>AKKS003-B</t>
        </is>
      </c>
      <c r="B141" s="20">
        <f>IFERROR(INDEX(Conversion!$C$2:$C$500,MATCH($A141,Conversion!$B$2:$B$500,0)),"NOT ASSIGNED")</f>
        <v/>
      </c>
      <c r="C141" s="21" t="inlineStr">
        <is>
          <t>Plastic shower head, blue</t>
        </is>
      </c>
      <c r="D141" s="22" t="inlineStr">
        <is>
          <t>Shower Wash Head, 1/2" F, blue, PA66 plastic</t>
        </is>
      </c>
      <c r="E141" s="23" t="n">
        <v>0.26</v>
      </c>
      <c r="F141" s="24" t="inlineStr">
        <is>
          <t>Cat p.26</t>
        </is>
      </c>
      <c r="G141" s="25" t="n">
        <v>42.096208</v>
      </c>
      <c r="H141" s="25" t="n">
        <v>36.834182</v>
      </c>
      <c r="I141" s="25" t="n">
        <v>34.203169</v>
      </c>
      <c r="J141" s="27">
        <f>IF(G141="","",G141/$C$5*(1+$C$8)+$E141*(1+$C$7)*$C$6)</f>
        <v/>
      </c>
      <c r="K141" s="27">
        <f>IF(H141="","",H141/$C$5*(1+$C$8)+$E141*(1+$C$7)*$C$6)</f>
        <v/>
      </c>
      <c r="L141" s="27">
        <f>IF(I141="","",I141/$C$5*(1+$C$8)+$E141*(1+$C$7)*$C$6)</f>
        <v/>
      </c>
      <c r="M141" s="28">
        <f>IF(J141="","",ROUND(J141*(1+$C$9),2))</f>
        <v/>
      </c>
      <c r="N141" s="28">
        <f>IF(K141="","",ROUND(K141*(1+$C$9),2))</f>
        <v/>
      </c>
      <c r="O141" s="28">
        <f>IF(L141="","",ROUND(L141*(1+$C$9),2))</f>
        <v/>
      </c>
      <c r="P141" s="29">
        <f>TRIM(IF($B141="NOT ASSIGNED","No NW part no. ","")&amp;IFERROR(IF(INDEX(Conversion!$J$2:$J$500,MATCH($A141,Conversion!$B$2:$B$500,0))="Needs review","Conversion table: needs review. ",""),"")&amp;IF(LEFT($F141,8)="ESTIMATE","Weight estimated. ","")&amp;"")</f>
        <v/>
      </c>
    </row>
    <row r="142">
      <c r="A142" s="19" t="inlineStr">
        <is>
          <t>AKKS003-B-19</t>
        </is>
      </c>
      <c r="B142" s="20">
        <f>IFERROR(INDEX(Conversion!$C$2:$C$500,MATCH($A142,Conversion!$B$2:$B$500,0)),"NOT ASSIGNED")</f>
        <v/>
      </c>
      <c r="C142" s="21" t="inlineStr">
        <is>
          <t>Plastic shower head blue with 19mm hose tail MESC019 (separate)</t>
        </is>
      </c>
      <c r="D142" s="22" t="inlineStr">
        <is>
          <t>Shower Wash Head, 1/2" F, w/ 19 mm hose tail (loose), blue, PA66 plastic</t>
        </is>
      </c>
      <c r="E142" s="30" t="n">
        <v>0.3</v>
      </c>
      <c r="F142" s="24" t="inlineStr">
        <is>
          <t>ESTIMATE - 260 g shower (p.26) + MESC019 hose tail est.</t>
        </is>
      </c>
      <c r="G142" s="25" t="n">
        <v>46.099856</v>
      </c>
      <c r="H142" s="25" t="n">
        <v>40.337374</v>
      </c>
      <c r="I142" s="25" t="n">
        <v>37.456133</v>
      </c>
      <c r="J142" s="27">
        <f>IF(G142="","",G142/$C$5*(1+$C$8)+$E142*(1+$C$7)*$C$6)</f>
        <v/>
      </c>
      <c r="K142" s="27">
        <f>IF(H142="","",H142/$C$5*(1+$C$8)+$E142*(1+$C$7)*$C$6)</f>
        <v/>
      </c>
      <c r="L142" s="27">
        <f>IF(I142="","",I142/$C$5*(1+$C$8)+$E142*(1+$C$7)*$C$6)</f>
        <v/>
      </c>
      <c r="M142" s="28">
        <f>IF(J142="","",ROUND(J142*(1+$C$9),2))</f>
        <v/>
      </c>
      <c r="N142" s="28">
        <f>IF(K142="","",ROUND(K142*(1+$C$9),2))</f>
        <v/>
      </c>
      <c r="O142" s="28">
        <f>IF(L142="","",ROUND(L142*(1+$C$9),2))</f>
        <v/>
      </c>
      <c r="P142" s="29">
        <f>TRIM(IF($B142="NOT ASSIGNED","No NW part no. ","")&amp;IFERROR(IF(INDEX(Conversion!$J$2:$J$500,MATCH($A142,Conversion!$B$2:$B$500,0))="Needs review","Conversion table: needs review. ",""),"")&amp;IF(LEFT($F142,8)="ESTIMATE","Weight estimated. ","")&amp;"")</f>
        <v/>
      </c>
    </row>
    <row r="143">
      <c r="A143" s="19" t="inlineStr">
        <is>
          <t>AKKS003-W</t>
        </is>
      </c>
      <c r="B143" s="20">
        <f>IFERROR(INDEX(Conversion!$C$2:$C$500,MATCH($A143,Conversion!$B$2:$B$500,0)),"NOT ASSIGNED")</f>
        <v/>
      </c>
      <c r="C143" s="21" t="inlineStr">
        <is>
          <t>Plastic shower head, white</t>
        </is>
      </c>
      <c r="D143" s="22" t="inlineStr">
        <is>
          <t>Shower Wash Head, 1/2" F, white, PA66 plastic</t>
        </is>
      </c>
      <c r="E143" s="23" t="n">
        <v>0.26</v>
      </c>
      <c r="F143" s="24" t="inlineStr">
        <is>
          <t>Cat p.26</t>
        </is>
      </c>
      <c r="G143" s="25" t="n">
        <v>42.096208</v>
      </c>
      <c r="H143" s="25" t="n">
        <v>36.834182</v>
      </c>
      <c r="I143" s="25" t="n">
        <v>34.203169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</row>
    <row r="144">
      <c r="A144" s="19" t="inlineStr">
        <is>
          <t>AKKS003-W-19</t>
        </is>
      </c>
      <c r="B144" s="20">
        <f>IFERROR(INDEX(Conversion!$C$2:$C$500,MATCH($A144,Conversion!$B$2:$B$500,0)),"NOT ASSIGNED")</f>
        <v/>
      </c>
      <c r="C144" s="21" t="inlineStr">
        <is>
          <t>Plastic shower head white with 19mm hose tail MESC019 (separate)</t>
        </is>
      </c>
      <c r="D144" s="22" t="inlineStr">
        <is>
          <t>Shower Wash Head, 1/2" F, w/ 19 mm hose tail (loose), white, PA66 plastic</t>
        </is>
      </c>
      <c r="E144" s="30" t="n">
        <v>0.3</v>
      </c>
      <c r="F144" s="24" t="inlineStr">
        <is>
          <t>ESTIMATE - 260 g shower (p.26) + MESC019 hose tail est.</t>
        </is>
      </c>
      <c r="G144" s="25" t="n">
        <v>46.099856</v>
      </c>
      <c r="H144" s="25" t="n">
        <v>40.337374</v>
      </c>
      <c r="I144" s="25" t="n">
        <v>37.456133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</row>
    <row r="146">
      <c r="A146" s="14" t="inlineStr">
        <is>
          <t>Protected ball valves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</row>
    <row r="148">
      <c r="A148" s="16" t="inlineStr">
        <is>
          <t>Qty break</t>
        </is>
      </c>
      <c r="B148" s="17" t="n"/>
      <c r="C148" s="17" t="n"/>
      <c r="D148" s="17" t="n"/>
      <c r="E148" s="17" t="n"/>
      <c r="F148" s="17" t="n"/>
      <c r="G148" s="18" t="inlineStr">
        <is>
          <t>&lt; 10 pcs</t>
        </is>
      </c>
      <c r="H148" s="18" t="inlineStr">
        <is>
          <t>≥ 10 pcs</t>
        </is>
      </c>
      <c r="I148" s="18" t="inlineStr">
        <is>
          <t>≥ 50 pcs</t>
        </is>
      </c>
      <c r="J148" s="18" t="inlineStr">
        <is>
          <t>&lt; 10 pcs</t>
        </is>
      </c>
      <c r="K148" s="18" t="inlineStr">
        <is>
          <t>≥ 10 pcs</t>
        </is>
      </c>
      <c r="L148" s="18" t="inlineStr">
        <is>
          <t>≥ 50 pcs</t>
        </is>
      </c>
      <c r="M148" s="18" t="inlineStr">
        <is>
          <t>&lt; 10 pcs</t>
        </is>
      </c>
      <c r="N148" s="18" t="inlineStr">
        <is>
          <t>≥ 10 pcs</t>
        </is>
      </c>
      <c r="O148" s="18" t="inlineStr">
        <is>
          <t>≥ 50 pcs</t>
        </is>
      </c>
      <c r="P148" s="17" t="n"/>
    </row>
    <row r="149">
      <c r="A149" s="19" t="inlineStr">
        <is>
          <t>BALR001-B</t>
        </is>
      </c>
      <c r="B149" s="20">
        <f>IFERROR(INDEX(Conversion!$C$2:$C$500,MATCH($A149,Conversion!$B$2:$B$500,0)),"NOT ASSIGNED")</f>
        <v/>
      </c>
      <c r="C149" s="21" t="inlineStr">
        <is>
          <t>St.st. protected ball valve, 1/2" female x 1/2" female, blue</t>
        </is>
      </c>
      <c r="D149" s="22" t="inlineStr">
        <is>
          <t>Shielded ball valve, 1/2" F x 1/2" F, EPDM protection, blue, stainless steel 304</t>
        </is>
      </c>
      <c r="E149" s="30" t="n">
        <v>0.4</v>
      </c>
      <c r="F149" s="24" t="inlineStr">
        <is>
          <t>ESTIMATE - weight not in catalogue (p.38)</t>
        </is>
      </c>
      <c r="G149" s="25" t="n">
        <v>43.892266</v>
      </c>
      <c r="H149" s="25" t="n">
        <v>41.310368</v>
      </c>
      <c r="I149" s="25" t="n">
        <v>36.146572</v>
      </c>
      <c r="J149" s="27">
        <f>IF(G149="","",G149/$C$5*(1+$C$8)+$E149*(1+$C$7)*$C$6)</f>
        <v/>
      </c>
      <c r="K149" s="27">
        <f>IF(H149="","",H149/$C$5*(1+$C$8)+$E149*(1+$C$7)*$C$6)</f>
        <v/>
      </c>
      <c r="L149" s="27">
        <f>IF(I149="","",I149/$C$5*(1+$C$8)+$E149*(1+$C$7)*$C$6)</f>
        <v/>
      </c>
      <c r="M149" s="28">
        <f>IF(J149="","",ROUND(J149*(1+$C$9),2))</f>
        <v/>
      </c>
      <c r="N149" s="28">
        <f>IF(K149="","",ROUND(K149*(1+$C$9),2))</f>
        <v/>
      </c>
      <c r="O149" s="28">
        <f>IF(L149="","",ROUND(L149*(1+$C$9),2))</f>
        <v/>
      </c>
      <c r="P149" s="29">
        <f>TRIM(IF($B149="NOT ASSIGNED","No NW part no. ","")&amp;IFERROR(IF(INDEX(Conversion!$J$2:$J$500,MATCH($A149,Conversion!$B$2:$B$500,0))="Needs review","Conversion table: needs review. ",""),"")&amp;IF(LEFT($F149,8)="ESTIMATE","Weight estimated. ","")&amp;"")</f>
        <v/>
      </c>
    </row>
    <row r="150">
      <c r="A150" s="19" t="inlineStr">
        <is>
          <t>BALRCP1-B</t>
        </is>
      </c>
      <c r="B150" s="20">
        <f>IFERROR(INDEX(Conversion!$C$2:$C$500,MATCH($A150,Conversion!$B$2:$B$500,0)),"NOT ASSIGNED")</f>
        <v/>
      </c>
      <c r="C150" s="21" t="inlineStr">
        <is>
          <t>St.st. protected ball valve, 1/2" female x st.st. coupler with protection, blue</t>
        </is>
      </c>
      <c r="D150" s="22" t="inlineStr">
        <is>
          <t>Shielded ball valve, 1/2" F x quick coupling, EPDM protection, blue, stainless steel 304</t>
        </is>
      </c>
      <c r="E150" s="30" t="n">
        <v>0.55</v>
      </c>
      <c r="F150" s="24" t="inlineStr">
        <is>
          <t>ESTIMATE - weight not in catalogue (p.38)</t>
        </is>
      </c>
      <c r="G150" s="25" t="n">
        <v>63.025919</v>
      </c>
      <c r="H150" s="25" t="n">
        <v>59.318512</v>
      </c>
      <c r="I150" s="25" t="n">
        <v>51.903698</v>
      </c>
      <c r="J150" s="27">
        <f>IF(G150="","",G150/$C$5*(1+$C$8)+$E150*(1+$C$7)*$C$6)</f>
        <v/>
      </c>
      <c r="K150" s="27">
        <f>IF(H150="","",H150/$C$5*(1+$C$8)+$E150*(1+$C$7)*$C$6)</f>
        <v/>
      </c>
      <c r="L150" s="27">
        <f>IF(I150="","",I150/$C$5*(1+$C$8)+$E150*(1+$C$7)*$C$6)</f>
        <v/>
      </c>
      <c r="M150" s="28">
        <f>IF(J150="","",ROUND(J150*(1+$C$9),2))</f>
        <v/>
      </c>
      <c r="N150" s="28">
        <f>IF(K150="","",ROUND(K150*(1+$C$9),2))</f>
        <v/>
      </c>
      <c r="O150" s="28">
        <f>IF(L150="","",ROUND(L150*(1+$C$9),2))</f>
        <v/>
      </c>
      <c r="P150" s="29">
        <f>TRIM(IF($B150="NOT ASSIGNED","No NW part no. ","")&amp;IFERROR(IF(INDEX(Conversion!$J$2:$J$500,MATCH($A150,Conversion!$B$2:$B$500,0))="Needs review","Conversion table: needs review. ",""),"")&amp;IF(LEFT($F150,8)="ESTIMATE","Weight estimated. ","")&amp;"")</f>
        <v/>
      </c>
    </row>
    <row r="151">
      <c r="A151" s="19" t="inlineStr">
        <is>
          <t>BALRCP1-NB</t>
        </is>
      </c>
      <c r="B151" s="20">
        <f>IFERROR(INDEX(Conversion!$C$2:$C$500,MATCH($A151,Conversion!$B$2:$B$500,0)),"NOT ASSIGNED")</f>
        <v/>
      </c>
      <c r="C151" s="21" t="inlineStr">
        <is>
          <t>St.st. protected ball valve, 1/2" female x st.st. coupler with nylon protection, blue</t>
        </is>
      </c>
      <c r="D151" s="22" t="inlineStr">
        <is>
          <t>Shielded ball valve, 1/2" F x quick coupling, nylon protection, blue, stainless steel 304</t>
        </is>
      </c>
      <c r="E151" s="30" t="n">
        <v>0.55</v>
      </c>
      <c r="F151" s="24" t="inlineStr">
        <is>
          <t>ESTIMATE - weight not in catalogue (p.38)</t>
        </is>
      </c>
      <c r="G151" s="25" t="n">
        <v>66.53273</v>
      </c>
      <c r="H151" s="25" t="n">
        <v>62.61904</v>
      </c>
      <c r="I151" s="25" t="n">
        <v>54.79166</v>
      </c>
      <c r="J151" s="27">
        <f>IF(G151="","",G151/$C$5*(1+$C$8)+$E151*(1+$C$7)*$C$6)</f>
        <v/>
      </c>
      <c r="K151" s="27">
        <f>IF(H151="","",H151/$C$5*(1+$C$8)+$E151*(1+$C$7)*$C$6)</f>
        <v/>
      </c>
      <c r="L151" s="27">
        <f>IF(I151="","",I151/$C$5*(1+$C$8)+$E151*(1+$C$7)*$C$6)</f>
        <v/>
      </c>
      <c r="M151" s="28">
        <f>IF(J151="","",ROUND(J151*(1+$C$9),2))</f>
        <v/>
      </c>
      <c r="N151" s="28">
        <f>IF(K151="","",ROUND(K151*(1+$C$9),2))</f>
        <v/>
      </c>
      <c r="O151" s="28">
        <f>IF(L151="","",ROUND(L151*(1+$C$9),2))</f>
        <v/>
      </c>
      <c r="P151" s="29">
        <f>TRIM(IF($B151="NOT ASSIGNED","No NW part no. ","")&amp;IFERROR(IF(INDEX(Conversion!$J$2:$J$500,MATCH($A151,Conversion!$B$2:$B$500,0))="Needs review","Conversion table: needs review. ",""),"")&amp;IF(LEFT($F151,8)="ESTIMATE","Weight estimated. ","")&amp;"")</f>
        <v/>
      </c>
    </row>
    <row r="152">
      <c r="A152" s="19" t="inlineStr">
        <is>
          <t>BARRCP2-B</t>
        </is>
      </c>
      <c r="B152" s="20">
        <f>IFERROR(INDEX(Conversion!$C$2:$C$500,MATCH($A152,Conversion!$B$2:$B$500,0)),"NOT ASSIGNED")</f>
        <v/>
      </c>
      <c r="C152" s="21" t="inlineStr">
        <is>
          <t>Stainless steel (AISI 316) ball valve with mechanical protection, coupler with blue protection and adapter</t>
        </is>
      </c>
      <c r="D152" s="22" t="inlineStr">
        <is>
          <t>Shielded ball valve, 1/2" F x quick coupling, EPDM protection, lever guard, blue, stainless steel 316</t>
        </is>
      </c>
      <c r="E152" s="30" t="n">
        <v>0.6</v>
      </c>
      <c r="F152" s="24" t="inlineStr">
        <is>
          <t>ESTIMATE - weight not in catalogue (p.38)</t>
        </is>
      </c>
      <c r="G152" s="25" t="n">
        <v>52.874624</v>
      </c>
      <c r="H152" s="25" t="n">
        <v>49.764352</v>
      </c>
      <c r="I152" s="25" t="n">
        <v>43.543808</v>
      </c>
      <c r="J152" s="27">
        <f>IF(G152="","",G152/$C$5*(1+$C$8)+$E152*(1+$C$7)*$C$6)</f>
        <v/>
      </c>
      <c r="K152" s="27">
        <f>IF(H152="","",H152/$C$5*(1+$C$8)+$E152*(1+$C$7)*$C$6)</f>
        <v/>
      </c>
      <c r="L152" s="27">
        <f>IF(I152="","",I152/$C$5*(1+$C$8)+$E152*(1+$C$7)*$C$6)</f>
        <v/>
      </c>
      <c r="M152" s="28">
        <f>IF(J152="","",ROUND(J152*(1+$C$9),2))</f>
        <v/>
      </c>
      <c r="N152" s="28">
        <f>IF(K152="","",ROUND(K152*(1+$C$9),2))</f>
        <v/>
      </c>
      <c r="O152" s="28">
        <f>IF(L152="","",ROUND(L152*(1+$C$9),2))</f>
        <v/>
      </c>
      <c r="P152" s="29">
        <f>TRIM(IF($B152="NOT ASSIGNED","No NW part no. ","")&amp;IFERROR(IF(INDEX(Conversion!$J$2:$J$500,MATCH($A152,Conversion!$B$2:$B$500,0))="Needs review","Conversion table: needs review. ",""),"")&amp;IF(LEFT($F152,8)="ESTIMATE","Weight estimated. ","")&amp;"")</f>
        <v/>
      </c>
    </row>
    <row r="154">
      <c r="A154" s="14" t="inlineStr">
        <is>
          <t>Ball bearing swivels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</row>
    <row r="156">
      <c r="A156" s="16" t="inlineStr">
        <is>
          <t>Qty break</t>
        </is>
      </c>
      <c r="B156" s="17" t="n"/>
      <c r="C156" s="17" t="n"/>
      <c r="D156" s="17" t="n"/>
      <c r="E156" s="17" t="n"/>
      <c r="F156" s="17" t="n"/>
      <c r="G156" s="18" t="inlineStr">
        <is>
          <t>&lt; 10 pcs</t>
        </is>
      </c>
      <c r="H156" s="18" t="inlineStr">
        <is>
          <t>≥ 10 pcs</t>
        </is>
      </c>
      <c r="I156" s="18" t="inlineStr">
        <is>
          <t>≥ 50 pcs</t>
        </is>
      </c>
      <c r="J156" s="18" t="inlineStr">
        <is>
          <t>&lt; 10 pcs</t>
        </is>
      </c>
      <c r="K156" s="18" t="inlineStr">
        <is>
          <t>≥ 10 pcs</t>
        </is>
      </c>
      <c r="L156" s="18" t="inlineStr">
        <is>
          <t>≥ 50 pcs</t>
        </is>
      </c>
      <c r="M156" s="18" t="inlineStr">
        <is>
          <t>&lt; 10 pcs</t>
        </is>
      </c>
      <c r="N156" s="18" t="inlineStr">
        <is>
          <t>≥ 10 pcs</t>
        </is>
      </c>
      <c r="O156" s="18" t="inlineStr">
        <is>
          <t>≥ 50 pcs</t>
        </is>
      </c>
      <c r="P156" s="17" t="n"/>
    </row>
    <row r="157">
      <c r="A157" s="31" t="inlineStr">
        <is>
          <t>Brass ball bearing swivels</t>
        </is>
      </c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  <c r="O157" s="32" t="n"/>
      <c r="P157" s="32" t="n"/>
    </row>
    <row r="159">
      <c r="A159" s="19" t="inlineStr">
        <is>
          <t>SWM09-12</t>
        </is>
      </c>
      <c r="B159" s="20">
        <f>IFERROR(INDEX(Conversion!$C$2:$C$500,MATCH($A159,Conversion!$B$2:$B$500,0)),"NOT ASSIGNED")</f>
        <v/>
      </c>
      <c r="C159" s="21" t="inlineStr">
        <is>
          <t>Brass ball bearing swivel, 1/2" male x 1/2" female, 9mm bore, flat seals</t>
        </is>
      </c>
      <c r="D159" s="22" t="inlineStr">
        <is>
          <t>Ball bearing swivel, 1/2" M x 1/2" F, 9 mm bore, brass</t>
        </is>
      </c>
      <c r="E159" s="30" t="n">
        <v>0.09</v>
      </c>
      <c r="F159" s="24" t="inlineStr">
        <is>
          <t>ESTIMATE - catalogue gives dimensions only (p.68-71)</t>
        </is>
      </c>
      <c r="G159" s="25" t="n">
        <v>10.100112</v>
      </c>
      <c r="H159" s="25" t="n">
        <v>8.837598</v>
      </c>
      <c r="I159" s="25" t="n">
        <v>8.206341</v>
      </c>
      <c r="J159" s="27">
        <f>IF(G159="","",G159/$C$5*(1+$C$8)+$E159*(1+$C$7)*$C$6)</f>
        <v/>
      </c>
      <c r="K159" s="27">
        <f>IF(H159="","",H159/$C$5*(1+$C$8)+$E159*(1+$C$7)*$C$6)</f>
        <v/>
      </c>
      <c r="L159" s="27">
        <f>IF(I159="","",I159/$C$5*(1+$C$8)+$E159*(1+$C$7)*$C$6)</f>
        <v/>
      </c>
      <c r="M159" s="28">
        <f>IF(J159="","",ROUND(J159*(1+$C$9),2))</f>
        <v/>
      </c>
      <c r="N159" s="28">
        <f>IF(K159="","",ROUND(K159*(1+$C$9),2))</f>
        <v/>
      </c>
      <c r="O159" s="28">
        <f>IF(L159="","",ROUND(L159*(1+$C$9),2))</f>
        <v/>
      </c>
      <c r="P159" s="29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</row>
    <row r="160">
      <c r="A160" s="19" t="inlineStr">
        <is>
          <t>SWM09-34</t>
        </is>
      </c>
      <c r="B160" s="20">
        <f>IFERROR(INDEX(Conversion!$C$2:$C$500,MATCH($A160,Conversion!$B$2:$B$500,0)),"NOT ASSIGNED")</f>
        <v/>
      </c>
      <c r="C160" s="21" t="inlineStr">
        <is>
          <t>Brass ball bearing swivel, 1/2" male x 3/4" female, 9mm bore, flat seals</t>
        </is>
      </c>
      <c r="D160" s="22" t="inlineStr">
        <is>
          <t>Ball bearing swivel, 1/2" M x 3/4" F, 9 mm bore, brass</t>
        </is>
      </c>
      <c r="E160" s="30" t="n">
        <v>0.1</v>
      </c>
      <c r="F160" s="24" t="inlineStr">
        <is>
          <t>ESTIMATE - catalogue gives dimensions only (p.68-71)</t>
        </is>
      </c>
      <c r="G160" s="25" t="n">
        <v>10.447536</v>
      </c>
      <c r="H160" s="25" t="n">
        <v>9.141594</v>
      </c>
      <c r="I160" s="25" t="n">
        <v>8.488623</v>
      </c>
      <c r="J160" s="27">
        <f>IF(G160="","",G160/$C$5*(1+$C$8)+$E160*(1+$C$7)*$C$6)</f>
        <v/>
      </c>
      <c r="K160" s="27">
        <f>IF(H160="","",H160/$C$5*(1+$C$8)+$E160*(1+$C$7)*$C$6)</f>
        <v/>
      </c>
      <c r="L160" s="27">
        <f>IF(I160="","",I160/$C$5*(1+$C$8)+$E160*(1+$C$7)*$C$6)</f>
        <v/>
      </c>
      <c r="M160" s="28">
        <f>IF(J160="","",ROUND(J160*(1+$C$9),2))</f>
        <v/>
      </c>
      <c r="N160" s="28">
        <f>IF(K160="","",ROUND(K160*(1+$C$9),2))</f>
        <v/>
      </c>
      <c r="O160" s="28">
        <f>IF(L160="","",ROUND(L160*(1+$C$9),2))</f>
        <v/>
      </c>
      <c r="P160" s="29">
        <f>TRIM(IF($B160="NOT ASSIGNED","No NW part no. ","")&amp;IFERROR(IF(INDEX(Conversion!$J$2:$J$500,MATCH($A160,Conversion!$B$2:$B$500,0))="Needs review","Conversion table: needs review. ",""),"")&amp;IF(LEFT($F160,8)="ESTIMATE","Weight estimated. ","")&amp;"")</f>
        <v/>
      </c>
    </row>
    <row r="161">
      <c r="A161" s="19" t="inlineStr">
        <is>
          <t>SWM14-34</t>
        </is>
      </c>
      <c r="B161" s="20">
        <f>IFERROR(INDEX(Conversion!$C$2:$C$500,MATCH($A161,Conversion!$B$2:$B$500,0)),"NOT ASSIGNED")</f>
        <v/>
      </c>
      <c r="C161" s="21" t="inlineStr">
        <is>
          <t>Brass ball bearing swivel, 1/2" male x 3/4" female, 14mm bore, flat seals</t>
        </is>
      </c>
      <c r="D161" s="22" t="inlineStr">
        <is>
          <t>Ball bearing swivel, 1/2" M x 3/4" F, 14 mm bore, brass</t>
        </is>
      </c>
      <c r="E161" s="30" t="n">
        <v>0.13</v>
      </c>
      <c r="F161" s="24" t="inlineStr">
        <is>
          <t>ESTIMATE - catalogue gives dimensions only (p.68-71)</t>
        </is>
      </c>
      <c r="G161" s="25" t="n">
        <v>11.1672</v>
      </c>
      <c r="H161" s="25" t="n">
        <v>9.7713</v>
      </c>
      <c r="I161" s="25" t="n">
        <v>9.07335</v>
      </c>
      <c r="J161" s="27">
        <f>IF(G161="","",G161/$C$5*(1+$C$8)+$E161*(1+$C$7)*$C$6)</f>
        <v/>
      </c>
      <c r="K161" s="27">
        <f>IF(H161="","",H161/$C$5*(1+$C$8)+$E161*(1+$C$7)*$C$6)</f>
        <v/>
      </c>
      <c r="L161" s="27">
        <f>IF(I161="","",I161/$C$5*(1+$C$8)+$E161*(1+$C$7)*$C$6)</f>
        <v/>
      </c>
      <c r="M161" s="28">
        <f>IF(J161="","",ROUND(J161*(1+$C$9),2))</f>
        <v/>
      </c>
      <c r="N161" s="28">
        <f>IF(K161="","",ROUND(K161*(1+$C$9),2))</f>
        <v/>
      </c>
      <c r="O161" s="28">
        <f>IF(L161="","",ROUND(L161*(1+$C$9),2))</f>
        <v/>
      </c>
      <c r="P161" s="29">
        <f>TRIM(IF($B161="NOT ASSIGNED","No NW part no. ","")&amp;IFERROR(IF(INDEX(Conversion!$J$2:$J$500,MATCH($A161,Conversion!$B$2:$B$500,0))="Needs review","Conversion table: needs review. ",""),"")&amp;IF(LEFT($F161,8)="ESTIMATE","Weight estimated. ","")&amp;"")</f>
        <v/>
      </c>
    </row>
    <row r="162">
      <c r="A162" s="19" t="inlineStr">
        <is>
          <t>SWM14-34X34</t>
        </is>
      </c>
      <c r="B162" s="20">
        <f>IFERROR(INDEX(Conversion!$C$2:$C$500,MATCH($A162,Conversion!$B$2:$B$500,0)),"NOT ASSIGNED")</f>
        <v/>
      </c>
      <c r="C162" s="21" t="inlineStr">
        <is>
          <t>Brass ball bearing swivel, 3/4" male x 3/4" female, 14mm bore, flat seals</t>
        </is>
      </c>
      <c r="D162" s="22" t="inlineStr">
        <is>
          <t>Ball bearing swivel, 3/4" M x 3/4" F, 14 mm bore, brass</t>
        </is>
      </c>
      <c r="E162" s="30" t="n">
        <v>0.15</v>
      </c>
      <c r="F162" s="24" t="inlineStr">
        <is>
          <t>ESTIMATE - catalogue gives dimensions only (p.68-71)</t>
        </is>
      </c>
      <c r="G162" s="25" t="n">
        <v>12.672704</v>
      </c>
      <c r="H162" s="25" t="n">
        <v>11.088616</v>
      </c>
      <c r="I162" s="25" t="n">
        <v>10.296572</v>
      </c>
      <c r="J162" s="27">
        <f>IF(G162="","",G162/$C$5*(1+$C$8)+$E162*(1+$C$7)*$C$6)</f>
        <v/>
      </c>
      <c r="K162" s="27">
        <f>IF(H162="","",H162/$C$5*(1+$C$8)+$E162*(1+$C$7)*$C$6)</f>
        <v/>
      </c>
      <c r="L162" s="27">
        <f>IF(I162="","",I162/$C$5*(1+$C$8)+$E162*(1+$C$7)*$C$6)</f>
        <v/>
      </c>
      <c r="M162" s="28">
        <f>IF(J162="","",ROUND(J162*(1+$C$9),2))</f>
        <v/>
      </c>
      <c r="N162" s="28">
        <f>IF(K162="","",ROUND(K162*(1+$C$9),2))</f>
        <v/>
      </c>
      <c r="O162" s="28">
        <f>IF(L162="","",ROUND(L162*(1+$C$9),2))</f>
        <v/>
      </c>
      <c r="P162" s="29">
        <f>TRIM(IF($B162="NOT ASSIGNED","No NW part no. ","")&amp;IFERROR(IF(INDEX(Conversion!$J$2:$J$500,MATCH($A162,Conversion!$B$2:$B$500,0))="Needs review","Conversion table: needs review. ",""),"")&amp;IF(LEFT($F162,8)="ESTIMATE","Weight estimated. ","")&amp;"")</f>
        <v/>
      </c>
    </row>
    <row r="163">
      <c r="A163" s="19" t="inlineStr">
        <is>
          <t>SWM18-1X1</t>
        </is>
      </c>
      <c r="B163" s="20">
        <f>IFERROR(INDEX(Conversion!$C$2:$C$500,MATCH($A163,Conversion!$B$2:$B$500,0)),"NOT ASSIGNED")</f>
        <v/>
      </c>
      <c r="C163" s="21" t="inlineStr">
        <is>
          <t>Brass ball bearing swivel, 1" male x 1" female, 18mm bore, flat seals</t>
        </is>
      </c>
      <c r="D163" s="22" t="inlineStr">
        <is>
          <t>Ball bearing swivel, 1" M x 1" F, 18 mm bore, brass</t>
        </is>
      </c>
      <c r="E163" s="30" t="n">
        <v>0.25</v>
      </c>
      <c r="F163" s="24" t="inlineStr">
        <is>
          <t>ESTIMATE - catalogue gives dimensions only (p.68-71)</t>
        </is>
      </c>
      <c r="G163" s="25" t="n">
        <v>19.166224</v>
      </c>
      <c r="H163" s="25" t="n">
        <v>16.770446</v>
      </c>
      <c r="I163" s="25" t="n">
        <v>15.572557</v>
      </c>
      <c r="J163" s="27">
        <f>IF(G163="","",G163/$C$5*(1+$C$8)+$E163*(1+$C$7)*$C$6)</f>
        <v/>
      </c>
      <c r="K163" s="27">
        <f>IF(H163="","",H163/$C$5*(1+$C$8)+$E163*(1+$C$7)*$C$6)</f>
        <v/>
      </c>
      <c r="L163" s="27">
        <f>IF(I163="","",I163/$C$5*(1+$C$8)+$E163*(1+$C$7)*$C$6)</f>
        <v/>
      </c>
      <c r="M163" s="28">
        <f>IF(J163="","",ROUND(J163*(1+$C$9),2))</f>
        <v/>
      </c>
      <c r="N163" s="28">
        <f>IF(K163="","",ROUND(K163*(1+$C$9),2))</f>
        <v/>
      </c>
      <c r="O163" s="28">
        <f>IF(L163="","",ROUND(L163*(1+$C$9),2))</f>
        <v/>
      </c>
      <c r="P163" s="29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</row>
    <row r="164">
      <c r="A164" s="19" t="inlineStr">
        <is>
          <t>SWM09-12MX12M</t>
        </is>
      </c>
      <c r="B164" s="20">
        <f>IFERROR(INDEX(Conversion!$C$2:$C$500,MATCH($A164,Conversion!$B$2:$B$500,0)),"NOT ASSIGNED")</f>
        <v/>
      </c>
      <c r="C164" s="21" t="inlineStr">
        <is>
          <t>Brass ball bearing swivel, 1/2" male x 1/2" male, 9mm bore, flat seals</t>
        </is>
      </c>
      <c r="D164" s="22" t="inlineStr">
        <is>
          <t>Ball bearing swivel, 1/2" M x 1/2" M, 9 mm bore, brass</t>
        </is>
      </c>
      <c r="E164" s="30" t="n">
        <v>0.09</v>
      </c>
      <c r="F164" s="24" t="inlineStr">
        <is>
          <t>ESTIMATE - catalogue gives dimensions only (p.68-71)</t>
        </is>
      </c>
      <c r="G164" s="25" t="n">
        <v>10.348272</v>
      </c>
      <c r="H164" s="25" t="n">
        <v>9.054738</v>
      </c>
      <c r="I164" s="25" t="n">
        <v>8.407971</v>
      </c>
      <c r="J164" s="27">
        <f>IF(G164="","",G164/$C$5*(1+$C$8)+$E164*(1+$C$7)*$C$6)</f>
        <v/>
      </c>
      <c r="K164" s="27">
        <f>IF(H164="","",H164/$C$5*(1+$C$8)+$E164*(1+$C$7)*$C$6)</f>
        <v/>
      </c>
      <c r="L164" s="27">
        <f>IF(I164="","",I164/$C$5*(1+$C$8)+$E164*(1+$C$7)*$C$6)</f>
        <v/>
      </c>
      <c r="M164" s="28">
        <f>IF(J164="","",ROUND(J164*(1+$C$9),2))</f>
        <v/>
      </c>
      <c r="N164" s="28">
        <f>IF(K164="","",ROUND(K164*(1+$C$9),2))</f>
        <v/>
      </c>
      <c r="O164" s="28">
        <f>IF(L164="","",ROUND(L164*(1+$C$9),2))</f>
        <v/>
      </c>
      <c r="P164" s="29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</row>
    <row r="165">
      <c r="A165" s="19" t="inlineStr">
        <is>
          <t>SWM09-12MX34M</t>
        </is>
      </c>
      <c r="B165" s="20">
        <f>IFERROR(INDEX(Conversion!$C$2:$C$500,MATCH($A165,Conversion!$B$2:$B$500,0)),"NOT ASSIGNED")</f>
        <v/>
      </c>
      <c r="C165" s="21" t="inlineStr">
        <is>
          <t>Brass ball bearing swivel, 1/2" male x 3/4" male, 9mm bore, flat seal</t>
        </is>
      </c>
      <c r="D165" s="22" t="inlineStr">
        <is>
          <t>Ball bearing swivel, 1/2" M x 3/4" M, 9 mm bore, brass</t>
        </is>
      </c>
      <c r="E165" s="30" t="n">
        <v>0.1</v>
      </c>
      <c r="F165" s="24" t="inlineStr">
        <is>
          <t>ESTIMATE - catalogue gives dimensions only (p.68-71)</t>
        </is>
      </c>
      <c r="G165" s="25" t="n">
        <v>10.348272</v>
      </c>
      <c r="H165" s="25" t="n">
        <v>9.054738</v>
      </c>
      <c r="I165" s="25" t="n">
        <v>8.407971</v>
      </c>
      <c r="J165" s="27">
        <f>IF(G165="","",G165/$C$5*(1+$C$8)+$E165*(1+$C$7)*$C$6)</f>
        <v/>
      </c>
      <c r="K165" s="27">
        <f>IF(H165="","",H165/$C$5*(1+$C$8)+$E165*(1+$C$7)*$C$6)</f>
        <v/>
      </c>
      <c r="L165" s="27">
        <f>IF(I165="","",I165/$C$5*(1+$C$8)+$E165*(1+$C$7)*$C$6)</f>
        <v/>
      </c>
      <c r="M165" s="28">
        <f>IF(J165="","",ROUND(J165*(1+$C$9),2))</f>
        <v/>
      </c>
      <c r="N165" s="28">
        <f>IF(K165="","",ROUND(K165*(1+$C$9),2))</f>
        <v/>
      </c>
      <c r="O165" s="28">
        <f>IF(L165="","",ROUND(L165*(1+$C$9),2))</f>
        <v/>
      </c>
      <c r="P165" s="29">
        <f>TRIM(IF($B165="NOT ASSIGNED","No NW part no. ","")&amp;IFERROR(IF(INDEX(Conversion!$J$2:$J$500,MATCH($A165,Conversion!$B$2:$B$500,0))="Needs review","Conversion table: needs review. ",""),"")&amp;IF(LEFT($F165,8)="ESTIMATE","Weight estimated. ","")&amp;"")</f>
        <v/>
      </c>
    </row>
    <row r="167">
      <c r="A167" s="31" t="inlineStr">
        <is>
          <t>Chrome plated brass ball bearing swivels</t>
        </is>
      </c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  <c r="O167" s="32" t="n"/>
      <c r="P167" s="32" t="n"/>
    </row>
    <row r="169">
      <c r="A169" s="19" t="inlineStr">
        <is>
          <t>SWC09-12</t>
        </is>
      </c>
      <c r="B169" s="20">
        <f>IFERROR(INDEX(Conversion!$C$2:$C$500,MATCH($A169,Conversion!$B$2:$B$500,0)),"NOT ASSIGNED")</f>
        <v/>
      </c>
      <c r="C169" s="21" t="inlineStr">
        <is>
          <t>Chrome plated brass ball bearing swivel, 1/2" male x 1/2" female, 9mm bore, flat seals</t>
        </is>
      </c>
      <c r="D169" s="22" t="inlineStr">
        <is>
          <t>Ball bearing swivel, 1/2" M x 1/2" F, 9 mm bore, chrome-plated brass</t>
        </is>
      </c>
      <c r="E169" s="30" t="n">
        <v>0.09</v>
      </c>
      <c r="F169" s="24" t="inlineStr">
        <is>
          <t>ESTIMATE - catalogue gives dimensions only (p.68-71)</t>
        </is>
      </c>
      <c r="G169" s="25" t="n">
        <v>12.978768</v>
      </c>
      <c r="H169" s="25" t="n">
        <v>11.356422</v>
      </c>
      <c r="I169" s="25" t="n">
        <v>10.545249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</row>
    <row r="170">
      <c r="A170" s="19" t="inlineStr">
        <is>
          <t>SWC09-34</t>
        </is>
      </c>
      <c r="B170" s="20">
        <f>IFERROR(INDEX(Conversion!$C$2:$C$500,MATCH($A170,Conversion!$B$2:$B$500,0)),"NOT ASSIGNED")</f>
        <v/>
      </c>
      <c r="C170" s="21" t="inlineStr">
        <is>
          <t>Chrome plated brass ball bearing swivel, 1/2" male x 3/4" female, 9mm bore, flat seals</t>
        </is>
      </c>
      <c r="D170" s="22" t="inlineStr">
        <is>
          <t>Ball bearing swivel, 1/2" M x 3/4" F, 9 mm bore, chrome-plated brass</t>
        </is>
      </c>
      <c r="E170" s="30" t="n">
        <v>0.1</v>
      </c>
      <c r="F170" s="24" t="inlineStr">
        <is>
          <t>ESTIMATE - catalogue gives dimensions only (p.68-71)</t>
        </is>
      </c>
      <c r="G170" s="25" t="n">
        <v>12.978768</v>
      </c>
      <c r="H170" s="25" t="n">
        <v>11.356422</v>
      </c>
      <c r="I170" s="25" t="n">
        <v>10.545249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</row>
    <row r="172">
      <c r="A172" s="31" t="inlineStr">
        <is>
          <t>Stainless steel 316 ball bearing swivels</t>
        </is>
      </c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  <c r="O172" s="32" t="n"/>
      <c r="P172" s="32" t="n"/>
    </row>
    <row r="174">
      <c r="A174" s="19" t="inlineStr">
        <is>
          <t>SWR09-12</t>
        </is>
      </c>
      <c r="B174" s="20">
        <f>IFERROR(INDEX(Conversion!$C$2:$C$500,MATCH($A174,Conversion!$B$2:$B$500,0)),"NOT ASSIGNED")</f>
        <v/>
      </c>
      <c r="C174" s="21" t="inlineStr">
        <is>
          <t>St.st. ball bearing swivel, 1/2" male x 1/2" female, 9mm bore, flat seals</t>
        </is>
      </c>
      <c r="D174" s="22" t="inlineStr">
        <is>
          <t>Ball bearing swivel, 1/2" M x 1/2" F, 9 mm bore, stainless steel 316</t>
        </is>
      </c>
      <c r="E174" s="30" t="n">
        <v>0.09</v>
      </c>
      <c r="F174" s="24" t="inlineStr">
        <is>
          <t>ESTIMATE - catalogue gives dimensions only (p.68-71)</t>
        </is>
      </c>
      <c r="G174" s="25" t="n">
        <v>20.076144</v>
      </c>
      <c r="H174" s="25" t="n">
        <v>17.566626</v>
      </c>
      <c r="I174" s="25" t="n">
        <v>16.311867</v>
      </c>
      <c r="J174" s="27">
        <f>IF(G174="","",G174/$C$5*(1+$C$8)+$E174*(1+$C$7)*$C$6)</f>
        <v/>
      </c>
      <c r="K174" s="27">
        <f>IF(H174="","",H174/$C$5*(1+$C$8)+$E174*(1+$C$7)*$C$6)</f>
        <v/>
      </c>
      <c r="L174" s="27">
        <f>IF(I174="","",I174/$C$5*(1+$C$8)+$E174*(1+$C$7)*$C$6)</f>
        <v/>
      </c>
      <c r="M174" s="28">
        <f>IF(J174="","",ROUND(J174*(1+$C$9),2))</f>
        <v/>
      </c>
      <c r="N174" s="28">
        <f>IF(K174="","",ROUND(K174*(1+$C$9),2))</f>
        <v/>
      </c>
      <c r="O174" s="28">
        <f>IF(L174="","",ROUND(L174*(1+$C$9),2))</f>
        <v/>
      </c>
      <c r="P174" s="29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</row>
    <row r="175">
      <c r="A175" s="19" t="inlineStr">
        <is>
          <t>SWR09-34</t>
        </is>
      </c>
      <c r="B175" s="20">
        <f>IFERROR(INDEX(Conversion!$C$2:$C$500,MATCH($A175,Conversion!$B$2:$B$500,0)),"NOT ASSIGNED")</f>
        <v/>
      </c>
      <c r="C175" s="21" t="inlineStr">
        <is>
          <t>St.st. ball bearing swivel, 1/2" male x 3/4" female, 9mm bore, flat seals</t>
        </is>
      </c>
      <c r="D175" s="22" t="inlineStr">
        <is>
          <t>Ball bearing swivel, 1/2" M x 3/4" F, 9 mm bore, stainless steel 316</t>
        </is>
      </c>
      <c r="E175" s="30" t="n">
        <v>0.1</v>
      </c>
      <c r="F175" s="24" t="inlineStr">
        <is>
          <t>ESTIMATE - catalogue gives dimensions only (p.68-71)</t>
        </is>
      </c>
      <c r="G175" s="25" t="n">
        <v>20.382208</v>
      </c>
      <c r="H175" s="25" t="n">
        <v>17.834432</v>
      </c>
      <c r="I175" s="25" t="n">
        <v>16.560544</v>
      </c>
      <c r="J175" s="27">
        <f>IF(G175="","",G175/$C$5*(1+$C$8)+$E175*(1+$C$7)*$C$6)</f>
        <v/>
      </c>
      <c r="K175" s="27">
        <f>IF(H175="","",H175/$C$5*(1+$C$8)+$E175*(1+$C$7)*$C$6)</f>
        <v/>
      </c>
      <c r="L175" s="27">
        <f>IF(I175="","",I175/$C$5*(1+$C$8)+$E175*(1+$C$7)*$C$6)</f>
        <v/>
      </c>
      <c r="M175" s="28">
        <f>IF(J175="","",ROUND(J175*(1+$C$9),2))</f>
        <v/>
      </c>
      <c r="N175" s="28">
        <f>IF(K175="","",ROUND(K175*(1+$C$9),2))</f>
        <v/>
      </c>
      <c r="O175" s="28">
        <f>IF(L175="","",ROUND(L175*(1+$C$9),2))</f>
        <v/>
      </c>
      <c r="P175" s="29">
        <f>TRIM(IF($B175="NOT ASSIGNED","No NW part no. ","")&amp;IFERROR(IF(INDEX(Conversion!$J$2:$J$500,MATCH($A175,Conversion!$B$2:$B$500,0))="Needs review","Conversion table: needs review. ",""),"")&amp;IF(LEFT($F175,8)="ESTIMATE","Weight estimated. ","")&amp;"")</f>
        <v/>
      </c>
    </row>
    <row r="176">
      <c r="A176" s="19" t="inlineStr">
        <is>
          <t>SWR14-34</t>
        </is>
      </c>
      <c r="B176" s="20">
        <f>IFERROR(INDEX(Conversion!$C$2:$C$500,MATCH($A176,Conversion!$B$2:$B$500,0)),"NOT ASSIGNED")</f>
        <v/>
      </c>
      <c r="C176" s="21" t="inlineStr">
        <is>
          <t>St.st. ball bearing swivel, 1/2" male x 3/4" female, 14mm bore, flat seals</t>
        </is>
      </c>
      <c r="D176" s="22" t="inlineStr">
        <is>
          <t>Ball bearing swivel, 1/2" M x 3/4" F, 14 mm bore, stainless steel 316</t>
        </is>
      </c>
      <c r="E176" s="30" t="n">
        <v>0.13</v>
      </c>
      <c r="F176" s="24" t="inlineStr">
        <is>
          <t>ESTIMATE - catalogue gives dimensions only (p.68-71)</t>
        </is>
      </c>
      <c r="G176" s="25" t="n">
        <v>21.498928</v>
      </c>
      <c r="H176" s="25" t="n">
        <v>18.811562</v>
      </c>
      <c r="I176" s="25" t="n">
        <v>17.467879</v>
      </c>
      <c r="J176" s="27">
        <f>IF(G176="","",G176/$C$5*(1+$C$8)+$E176*(1+$C$7)*$C$6)</f>
        <v/>
      </c>
      <c r="K176" s="27">
        <f>IF(H176="","",H176/$C$5*(1+$C$8)+$E176*(1+$C$7)*$C$6)</f>
        <v/>
      </c>
      <c r="L176" s="27">
        <f>IF(I176="","",I176/$C$5*(1+$C$8)+$E176*(1+$C$7)*$C$6)</f>
        <v/>
      </c>
      <c r="M176" s="28">
        <f>IF(J176="","",ROUND(J176*(1+$C$9),2))</f>
        <v/>
      </c>
      <c r="N176" s="28">
        <f>IF(K176="","",ROUND(K176*(1+$C$9),2))</f>
        <v/>
      </c>
      <c r="O176" s="28">
        <f>IF(L176="","",ROUND(L176*(1+$C$9),2))</f>
        <v/>
      </c>
      <c r="P176" s="29">
        <f>TRIM(IF($B176="NOT ASSIGNED","No NW part no. ","")&amp;IFERROR(IF(INDEX(Conversion!$J$2:$J$500,MATCH($A176,Conversion!$B$2:$B$500,0))="Needs review","Conversion table: needs review. ",""),"")&amp;IF(LEFT($F176,8)="ESTIMATE","Weight estimated. ","")&amp;"")</f>
        <v/>
      </c>
    </row>
    <row r="177">
      <c r="A177" s="19" t="inlineStr">
        <is>
          <t>SWR14-34X34</t>
        </is>
      </c>
      <c r="B177" s="20">
        <f>IFERROR(INDEX(Conversion!$C$2:$C$500,MATCH($A177,Conversion!$B$2:$B$500,0)),"NOT ASSIGNED")</f>
        <v/>
      </c>
      <c r="C177" s="21" t="inlineStr">
        <is>
          <t>St. st. ball bearing swivel, 3/4" male x 3/4" female, 14mm bore, flat seals</t>
        </is>
      </c>
      <c r="D177" s="22" t="inlineStr">
        <is>
          <t>Ball bearing swivel, 3/4" M x 3/4" F, 14 mm bore, stainless steel 316</t>
        </is>
      </c>
      <c r="E177" s="30" t="n">
        <v>0.15</v>
      </c>
      <c r="F177" s="24" t="inlineStr">
        <is>
          <t>ESTIMATE - catalogue gives dimensions only (p.68-71)</t>
        </is>
      </c>
      <c r="G177" s="25" t="n">
        <v>24.948352</v>
      </c>
      <c r="H177" s="25" t="n">
        <v>21.829808</v>
      </c>
      <c r="I177" s="25" t="n">
        <v>20.270536</v>
      </c>
      <c r="J177" s="27">
        <f>IF(G177="","",G177/$C$5*(1+$C$8)+$E177*(1+$C$7)*$C$6)</f>
        <v/>
      </c>
      <c r="K177" s="27">
        <f>IF(H177="","",H177/$C$5*(1+$C$8)+$E177*(1+$C$7)*$C$6)</f>
        <v/>
      </c>
      <c r="L177" s="27">
        <f>IF(I177="","",I177/$C$5*(1+$C$8)+$E177*(1+$C$7)*$C$6)</f>
        <v/>
      </c>
      <c r="M177" s="28">
        <f>IF(J177="","",ROUND(J177*(1+$C$9),2))</f>
        <v/>
      </c>
      <c r="N177" s="28">
        <f>IF(K177="","",ROUND(K177*(1+$C$9),2))</f>
        <v/>
      </c>
      <c r="O177" s="28">
        <f>IF(L177="","",ROUND(L177*(1+$C$9),2))</f>
        <v/>
      </c>
      <c r="P177" s="29">
        <f>TRIM(IF($B177="NOT ASSIGNED","No NW part no. ","")&amp;IFERROR(IF(INDEX(Conversion!$J$2:$J$500,MATCH($A177,Conversion!$B$2:$B$500,0))="Needs review","Conversion table: needs review. ",""),"")&amp;IF(LEFT($F177,8)="ESTIMATE","Weight estimated. ","")&amp;"")</f>
        <v/>
      </c>
    </row>
    <row r="178">
      <c r="A178" s="19" t="inlineStr">
        <is>
          <t>SWR18-1X1</t>
        </is>
      </c>
      <c r="B178" s="20">
        <f>IFERROR(INDEX(Conversion!$C$2:$C$500,MATCH($A178,Conversion!$B$2:$B$500,0)),"NOT ASSIGNED")</f>
        <v/>
      </c>
      <c r="C178" s="21" t="inlineStr">
        <is>
          <t>St.st. ball bearing swivel, 1" male x 1" female, 18mm bore, flat seals</t>
        </is>
      </c>
      <c r="D178" s="22" t="inlineStr">
        <is>
          <t>Ball bearing swivel, 1" M x 1" F, 18 mm bore, stainless steel 316</t>
        </is>
      </c>
      <c r="E178" s="30" t="n">
        <v>0.25</v>
      </c>
      <c r="F178" s="24" t="inlineStr">
        <is>
          <t>ESTIMATE - catalogue gives dimensions only (p.68-71)</t>
        </is>
      </c>
      <c r="G178" s="25" t="n">
        <v>32.451056</v>
      </c>
      <c r="H178" s="25" t="n">
        <v>28.394674</v>
      </c>
      <c r="I178" s="25" t="n">
        <v>26.366483</v>
      </c>
      <c r="J178" s="27">
        <f>IF(G178="","",G178/$C$5*(1+$C$8)+$E178*(1+$C$7)*$C$6)</f>
        <v/>
      </c>
      <c r="K178" s="27">
        <f>IF(H178="","",H178/$C$5*(1+$C$8)+$E178*(1+$C$7)*$C$6)</f>
        <v/>
      </c>
      <c r="L178" s="27">
        <f>IF(I178="","",I178/$C$5*(1+$C$8)+$E178*(1+$C$7)*$C$6)</f>
        <v/>
      </c>
      <c r="M178" s="28">
        <f>IF(J178="","",ROUND(J178*(1+$C$9),2))</f>
        <v/>
      </c>
      <c r="N178" s="28">
        <f>IF(K178="","",ROUND(K178*(1+$C$9),2))</f>
        <v/>
      </c>
      <c r="O178" s="28">
        <f>IF(L178="","",ROUND(L178*(1+$C$9),2))</f>
        <v/>
      </c>
      <c r="P178" s="29">
        <f>TRIM(IF($B178="NOT ASSIGNED","No NW part no. ","")&amp;IFERROR(IF(INDEX(Conversion!$J$2:$J$500,MATCH($A178,Conversion!$B$2:$B$500,0))="Needs review","Conversion table: needs review. ",""),"")&amp;IF(LEFT($F178,8)="ESTIMATE","Weight estimated. ","")&amp;"")</f>
        <v/>
      </c>
    </row>
    <row r="179">
      <c r="A179" s="19" t="inlineStr">
        <is>
          <t>SWR09-12Mx12M</t>
        </is>
      </c>
      <c r="B179" s="20">
        <f>IFERROR(INDEX(Conversion!$C$2:$C$500,MATCH($A179,Conversion!$B$2:$B$500,0)),"NOT ASSIGNED")</f>
        <v/>
      </c>
      <c r="C179" s="21" t="inlineStr">
        <is>
          <t>St.st. ball bearing swivel, 1/2" male x 1/2" male, 9mm bore</t>
        </is>
      </c>
      <c r="D179" s="22" t="inlineStr">
        <is>
          <t>Ball bearing swivel, 1/2" M x 1/2" M, 9 mm bore, stainless steel 316</t>
        </is>
      </c>
      <c r="E179" s="30" t="n">
        <v>0.09</v>
      </c>
      <c r="F179" s="24" t="inlineStr">
        <is>
          <t>ESTIMATE - catalogue gives dimensions only (p.68-71)</t>
        </is>
      </c>
      <c r="G179" s="25" t="n">
        <v>20.746176</v>
      </c>
      <c r="H179" s="25" t="n">
        <v>18.152904</v>
      </c>
      <c r="I179" s="25" t="n">
        <v>16.856268</v>
      </c>
      <c r="J179" s="27">
        <f>IF(G179="","",G179/$C$5*(1+$C$8)+$E179*(1+$C$7)*$C$6)</f>
        <v/>
      </c>
      <c r="K179" s="27">
        <f>IF(H179="","",H179/$C$5*(1+$C$8)+$E179*(1+$C$7)*$C$6)</f>
        <v/>
      </c>
      <c r="L179" s="27">
        <f>IF(I179="","",I179/$C$5*(1+$C$8)+$E179*(1+$C$7)*$C$6)</f>
        <v/>
      </c>
      <c r="M179" s="28">
        <f>IF(J179="","",ROUND(J179*(1+$C$9),2))</f>
        <v/>
      </c>
      <c r="N179" s="28">
        <f>IF(K179="","",ROUND(K179*(1+$C$9),2))</f>
        <v/>
      </c>
      <c r="O179" s="28">
        <f>IF(L179="","",ROUND(L179*(1+$C$9),2))</f>
        <v/>
      </c>
      <c r="P179" s="29">
        <f>TRIM(IF($B179="NOT ASSIGNED","No NW part no. ","")&amp;IFERROR(IF(INDEX(Conversion!$J$2:$J$500,MATCH($A179,Conversion!$B$2:$B$500,0))="Needs review","Conversion table: needs review. ",""),"")&amp;IF(LEFT($F179,8)="ESTIMATE","Weight estimated. ","")&amp;"")</f>
        <v/>
      </c>
    </row>
    <row r="180">
      <c r="A180" s="19" t="inlineStr">
        <is>
          <t>SWR09-12MX34M</t>
        </is>
      </c>
      <c r="B180" s="20">
        <f>IFERROR(INDEX(Conversion!$C$2:$C$500,MATCH($A180,Conversion!$B$2:$B$500,0)),"NOT ASSIGNED")</f>
        <v/>
      </c>
      <c r="C180" s="21" t="inlineStr">
        <is>
          <t>St.st. ball bearing swivel, 1/2" male x 3/4" male, 9mm bore, flat seal</t>
        </is>
      </c>
      <c r="D180" s="22" t="inlineStr">
        <is>
          <t>Ball bearing swivel, 1/2" M x 3/4" M, 9 mm bore, stainless steel 316</t>
        </is>
      </c>
      <c r="E180" s="30" t="n">
        <v>0.1</v>
      </c>
      <c r="F180" s="24" t="inlineStr">
        <is>
          <t>ESTIMATE - catalogue gives dimensions only (p.68-71)</t>
        </is>
      </c>
      <c r="G180" s="25" t="n">
        <v>20.746176</v>
      </c>
      <c r="H180" s="25" t="n">
        <v>18.152904</v>
      </c>
      <c r="I180" s="25" t="n">
        <v>16.856268</v>
      </c>
      <c r="J180" s="27">
        <f>IF(G180="","",G180/$C$5*(1+$C$8)+$E180*(1+$C$7)*$C$6)</f>
        <v/>
      </c>
      <c r="K180" s="27">
        <f>IF(H180="","",H180/$C$5*(1+$C$8)+$E180*(1+$C$7)*$C$6)</f>
        <v/>
      </c>
      <c r="L180" s="27">
        <f>IF(I180="","",I180/$C$5*(1+$C$8)+$E180*(1+$C$7)*$C$6)</f>
        <v/>
      </c>
      <c r="M180" s="28">
        <f>IF(J180="","",ROUND(J180*(1+$C$9),2))</f>
        <v/>
      </c>
      <c r="N180" s="28">
        <f>IF(K180="","",ROUND(K180*(1+$C$9),2))</f>
        <v/>
      </c>
      <c r="O180" s="28">
        <f>IF(L180="","",ROUND(L180*(1+$C$9),2))</f>
        <v/>
      </c>
      <c r="P180" s="29">
        <f>TRIM(IF($B180="NOT ASSIGNED","No NW part no. ","")&amp;IFERROR(IF(INDEX(Conversion!$J$2:$J$500,MATCH($A180,Conversion!$B$2:$B$500,0))="Needs review","Conversion table: needs review. ",""),"")&amp;IF(LEFT($F180,8)="ESTIMATE","Weight estimated. ","")&amp;"")</f>
        <v/>
      </c>
    </row>
    <row r="182">
      <c r="A182" s="14" t="inlineStr">
        <is>
          <t>Swiveling hose tails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</row>
    <row r="184">
      <c r="A184" s="16" t="inlineStr">
        <is>
          <t>Qty break</t>
        </is>
      </c>
      <c r="B184" s="17" t="n"/>
      <c r="C184" s="17" t="n"/>
      <c r="D184" s="17" t="n"/>
      <c r="E184" s="17" t="n"/>
      <c r="F184" s="17" t="n"/>
      <c r="G184" s="18" t="inlineStr">
        <is>
          <t>&lt; 10 pcs</t>
        </is>
      </c>
      <c r="H184" s="18" t="inlineStr">
        <is>
          <t>≥ 10 pcs</t>
        </is>
      </c>
      <c r="I184" s="18" t="inlineStr">
        <is>
          <t>≥ 50 pcs</t>
        </is>
      </c>
      <c r="J184" s="18" t="inlineStr">
        <is>
          <t>&lt; 10 pcs</t>
        </is>
      </c>
      <c r="K184" s="18" t="inlineStr">
        <is>
          <t>≥ 10 pcs</t>
        </is>
      </c>
      <c r="L184" s="18" t="inlineStr">
        <is>
          <t>≥ 50 pcs</t>
        </is>
      </c>
      <c r="M184" s="18" t="inlineStr">
        <is>
          <t>&lt; 10 pcs</t>
        </is>
      </c>
      <c r="N184" s="18" t="inlineStr">
        <is>
          <t>≥ 10 pcs</t>
        </is>
      </c>
      <c r="O184" s="18" t="inlineStr">
        <is>
          <t>≥ 50 pcs</t>
        </is>
      </c>
      <c r="P184" s="17" t="n"/>
    </row>
    <row r="185">
      <c r="A185" s="31" t="inlineStr">
        <is>
          <t>Up to 24 bar</t>
        </is>
      </c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  <c r="O185" s="32" t="n"/>
      <c r="P185" s="32" t="n"/>
    </row>
    <row r="187">
      <c r="A187" s="19" t="inlineStr">
        <is>
          <t>SWIFM1/2</t>
        </is>
      </c>
      <c r="B187" s="20">
        <f>IFERROR(INDEX(Conversion!$C$2:$C$500,MATCH($A187,Conversion!$B$2:$B$500,0)),"NOT ASSIGNED")</f>
        <v/>
      </c>
      <c r="C187" s="21" t="inlineStr">
        <is>
          <t>Brass swivelling hose tail 13mm x 1/2" male</t>
        </is>
      </c>
      <c r="D187" s="22" t="inlineStr">
        <is>
          <t>Swivel hose tail, 13 mm x 1/2" M, brass</t>
        </is>
      </c>
      <c r="E187" s="30" t="n">
        <v>0.06</v>
      </c>
      <c r="F187" s="24" t="inlineStr">
        <is>
          <t>ESTIMATE - catalogue gives dimensions only (p.68-71)</t>
        </is>
      </c>
      <c r="G187" s="25" t="n">
        <v>4.061552</v>
      </c>
      <c r="H187" s="25" t="n">
        <v>3.553858</v>
      </c>
      <c r="I187" s="25" t="n">
        <v>3.300011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</row>
    <row r="188">
      <c r="A188" s="19" t="inlineStr">
        <is>
          <t>SWIFR1/2</t>
        </is>
      </c>
      <c r="B188" s="20">
        <f>IFERROR(INDEX(Conversion!$C$2:$C$500,MATCH($A188,Conversion!$B$2:$B$500,0)),"NOT ASSIGNED")</f>
        <v/>
      </c>
      <c r="C188" s="21" t="inlineStr">
        <is>
          <t>Stainless steel swivelling hose tail 13mm x 1/2" male</t>
        </is>
      </c>
      <c r="D188" s="22" t="inlineStr">
        <is>
          <t>Swivel hose tail, 13 mm x 1/2" M, stainless steel 316</t>
        </is>
      </c>
      <c r="E188" s="30" t="n">
        <v>0.06</v>
      </c>
      <c r="F188" s="24" t="inlineStr">
        <is>
          <t>ESTIMATE - catalogue gives dimensions only (p.68-71)</t>
        </is>
      </c>
      <c r="G188" s="25" t="n">
        <v>12.176384</v>
      </c>
      <c r="H188" s="25" t="n">
        <v>10.654336</v>
      </c>
      <c r="I188" s="25" t="n">
        <v>9.893312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</row>
    <row r="190">
      <c r="A190" s="31" t="inlineStr">
        <is>
          <t>Up to 40 bar with full bore</t>
        </is>
      </c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  <c r="O190" s="32" t="n"/>
      <c r="P190" s="32" t="n"/>
    </row>
    <row r="192">
      <c r="A192" s="19" t="inlineStr">
        <is>
          <t>SWIFB10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10mm x 1/2" BSPT male</t>
        </is>
      </c>
      <c r="D192" s="22" t="inlineStr">
        <is>
          <t>Swivel hose tail, full bore, 10 mm x 1/2" BSPT M, stainless steel 316</t>
        </is>
      </c>
      <c r="E192" s="30" t="n">
        <v>0.08</v>
      </c>
      <c r="F192" s="24" t="inlineStr">
        <is>
          <t>ESTIMATE - catalogue gives dimensions only (p.68-71)</t>
        </is>
      </c>
      <c r="G192" s="25" t="n">
        <v>16.436464</v>
      </c>
      <c r="H192" s="25" t="n">
        <v>14.381906</v>
      </c>
      <c r="I192" s="25" t="n">
        <v>13.354627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</row>
    <row r="193">
      <c r="A193" s="19" t="inlineStr">
        <is>
          <t>SWIFB13-C17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13mm x 1/2" male, 17mm collar</t>
        </is>
      </c>
      <c r="D193" s="22" t="inlineStr">
        <is>
          <t>Swivel hose tail, full bore, 13 mm x 1/2" M, 17 mm collar, stainless steel 316</t>
        </is>
      </c>
      <c r="E193" s="30" t="n">
        <v>0.09</v>
      </c>
      <c r="F193" s="24" t="inlineStr">
        <is>
          <t>ESTIMATE - catalogue gives dimensions only (p.68-71)</t>
        </is>
      </c>
      <c r="G193" s="25" t="n">
        <v>18.967696</v>
      </c>
      <c r="H193" s="25" t="n">
        <v>16.596734</v>
      </c>
      <c r="I193" s="25" t="n">
        <v>15.411253</v>
      </c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</row>
    <row r="194">
      <c r="A194" s="19" t="inlineStr">
        <is>
          <t>SWIFB13-C17-SP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13mm x 1/2" male, 17mm collar, inside hose protection spring.</t>
        </is>
      </c>
      <c r="D194" s="22" t="inlineStr">
        <is>
          <t>Swivel hose tail, full bore, 13 mm x 1/2" M, 17 mm collar, w/ anti-kink spring, stainless steel 316</t>
        </is>
      </c>
      <c r="E194" s="30" t="n">
        <v>0.13</v>
      </c>
      <c r="F194" s="24" t="inlineStr">
        <is>
          <t>ESTIMATE - catalogue gives dimensions only (p.68-71)</t>
        </is>
      </c>
      <c r="G194" s="25" t="n">
        <v>24.336224</v>
      </c>
      <c r="H194" s="25" t="n">
        <v>21.294196</v>
      </c>
      <c r="I194" s="25" t="n">
        <v>19.773182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</row>
    <row r="195">
      <c r="A195" s="19" t="inlineStr">
        <is>
          <t>SWIFB13-C20</t>
        </is>
      </c>
      <c r="B195" s="20">
        <f>IFERROR(INDEX(Conversion!$C$2:$C$500,MATCH($A195,Conversion!$B$2:$B$500,0)),"NOT ASSIGNED")</f>
        <v/>
      </c>
      <c r="C195" s="21" t="inlineStr">
        <is>
          <t>St.st. full bore swivelling hose tail, 13mm x 1/2" male, 20mm collar</t>
        </is>
      </c>
      <c r="D195" s="22" t="inlineStr">
        <is>
          <t>Swivel hose tail, full bore, 13 mm x 1/2" M, 20 mm collar, stainless steel 316</t>
        </is>
      </c>
      <c r="E195" s="30" t="n">
        <v>0.09</v>
      </c>
      <c r="F195" s="24" t="inlineStr">
        <is>
          <t>ESTIMATE - catalogue gives dimensions only (p.68-71)</t>
        </is>
      </c>
      <c r="G195" s="25" t="n">
        <v>18.967696</v>
      </c>
      <c r="H195" s="25" t="n">
        <v>16.596734</v>
      </c>
      <c r="I195" s="25" t="n">
        <v>15.411253</v>
      </c>
      <c r="J195" s="27">
        <f>IF(G195="","",G195/$C$5*(1+$C$8)+$E195*(1+$C$7)*$C$6)</f>
        <v/>
      </c>
      <c r="K195" s="27">
        <f>IF(H195="","",H195/$C$5*(1+$C$8)+$E195*(1+$C$7)*$C$6)</f>
        <v/>
      </c>
      <c r="L195" s="27">
        <f>IF(I195="","",I195/$C$5*(1+$C$8)+$E195*(1+$C$7)*$C$6)</f>
        <v/>
      </c>
      <c r="M195" s="28">
        <f>IF(J195="","",ROUND(J195*(1+$C$9),2))</f>
        <v/>
      </c>
      <c r="N195" s="28">
        <f>IF(K195="","",ROUND(K195*(1+$C$9),2))</f>
        <v/>
      </c>
      <c r="O195" s="28">
        <f>IF(L195="","",ROUND(L195*(1+$C$9),2))</f>
        <v/>
      </c>
      <c r="P195" s="29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</row>
    <row r="196">
      <c r="A196" s="19" t="inlineStr">
        <is>
          <t>SWIFB13-C20-SP</t>
        </is>
      </c>
      <c r="B196" s="20">
        <f>IFERROR(INDEX(Conversion!$C$2:$C$500,MATCH($A196,Conversion!$B$2:$B$500,0)),"NOT ASSIGNED")</f>
        <v/>
      </c>
      <c r="C196" s="21" t="inlineStr">
        <is>
          <t>St.st. full bore swivelling hose tail, 13mm x 1/2" male, 20mm collar, inside hose protection spring</t>
        </is>
      </c>
      <c r="D196" s="22" t="inlineStr">
        <is>
          <t>Swivel hose tail, full bore, 13 mm x 1/2" M, 20 mm collar, w/ anti-kink spring, stainless steel 316</t>
        </is>
      </c>
      <c r="E196" s="30" t="n">
        <v>0.13</v>
      </c>
      <c r="F196" s="24" t="inlineStr">
        <is>
          <t>ESTIMATE - catalogue gives dimensions only (p.68-71)</t>
        </is>
      </c>
      <c r="G196" s="25" t="n">
        <v>24.336224</v>
      </c>
      <c r="H196" s="25" t="n">
        <v>21.294196</v>
      </c>
      <c r="I196" s="25" t="n">
        <v>19.773182</v>
      </c>
      <c r="J196" s="27">
        <f>IF(G196="","",G196/$C$5*(1+$C$8)+$E196*(1+$C$7)*$C$6)</f>
        <v/>
      </c>
      <c r="K196" s="27">
        <f>IF(H196="","",H196/$C$5*(1+$C$8)+$E196*(1+$C$7)*$C$6)</f>
        <v/>
      </c>
      <c r="L196" s="27">
        <f>IF(I196="","",I196/$C$5*(1+$C$8)+$E196*(1+$C$7)*$C$6)</f>
        <v/>
      </c>
      <c r="M196" s="28">
        <f>IF(J196="","",ROUND(J196*(1+$C$9),2))</f>
        <v/>
      </c>
      <c r="N196" s="28">
        <f>IF(K196="","",ROUND(K196*(1+$C$9),2))</f>
        <v/>
      </c>
      <c r="O196" s="28">
        <f>IF(L196="","",ROUND(L196*(1+$C$9),2))</f>
        <v/>
      </c>
      <c r="P196" s="29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</row>
    <row r="197">
      <c r="A197" s="19" t="inlineStr">
        <is>
          <t>SWIFB16-C21</t>
        </is>
      </c>
      <c r="B197" s="20">
        <f>IFERROR(INDEX(Conversion!$C$2:$C$500,MATCH($A197,Conversion!$B$2:$B$500,0)),"NOT ASSIGNED")</f>
        <v/>
      </c>
      <c r="C197" s="21" t="inlineStr">
        <is>
          <t>St.st. full bore swivelling hose tail, 16mm x 1/2" male, 21mm collar</t>
        </is>
      </c>
      <c r="D197" s="22" t="inlineStr">
        <is>
          <t>Swivel hose tail, full bore, 16 mm x 1/2" M, 21 mm collar, stainless steel 316</t>
        </is>
      </c>
      <c r="E197" s="30" t="n">
        <v>0.1</v>
      </c>
      <c r="F197" s="24" t="inlineStr">
        <is>
          <t>ESTIMATE - catalogue gives dimensions only (p.68-71)</t>
        </is>
      </c>
      <c r="G197" s="25" t="n">
        <v>18.967696</v>
      </c>
      <c r="H197" s="25" t="n">
        <v>16.596734</v>
      </c>
      <c r="I197" s="25" t="n">
        <v>15.411253</v>
      </c>
      <c r="J197" s="27">
        <f>IF(G197="","",G197/$C$5*(1+$C$8)+$E197*(1+$C$7)*$C$6)</f>
        <v/>
      </c>
      <c r="K197" s="27">
        <f>IF(H197="","",H197/$C$5*(1+$C$8)+$E197*(1+$C$7)*$C$6)</f>
        <v/>
      </c>
      <c r="L197" s="27">
        <f>IF(I197="","",I197/$C$5*(1+$C$8)+$E197*(1+$C$7)*$C$6)</f>
        <v/>
      </c>
      <c r="M197" s="28">
        <f>IF(J197="","",ROUND(J197*(1+$C$9),2))</f>
        <v/>
      </c>
      <c r="N197" s="28">
        <f>IF(K197="","",ROUND(K197*(1+$C$9),2))</f>
        <v/>
      </c>
      <c r="O197" s="28">
        <f>IF(L197="","",ROUND(L197*(1+$C$9),2))</f>
        <v/>
      </c>
      <c r="P197" s="29">
        <f>TRIM(IF($B197="NOT ASSIGNED","No NW part no. ","")&amp;IFERROR(IF(INDEX(Conversion!$J$2:$J$500,MATCH($A197,Conversion!$B$2:$B$500,0))="Needs review","Conversion table: needs review. ",""),"")&amp;IF(LEFT($F197,8)="ESTIMATE","Weight estimated. ","")&amp;"")</f>
        <v/>
      </c>
    </row>
    <row r="198">
      <c r="A198" s="19" t="inlineStr">
        <is>
          <t>SWIFB16-C21-SP</t>
        </is>
      </c>
      <c r="B198" s="20">
        <f>IFERROR(INDEX(Conversion!$C$2:$C$500,MATCH($A198,Conversion!$B$2:$B$500,0)),"NOT ASSIGNED")</f>
        <v/>
      </c>
      <c r="C198" s="21" t="inlineStr">
        <is>
          <t>St.st. full bore swivelling hose tail, 16mm x 1/2" male, 21mm collar, inside hose protection spring</t>
        </is>
      </c>
      <c r="D198" s="22" t="inlineStr">
        <is>
          <t>Swivel hose tail, full bore, 16 mm x 1/2" M, 21 mm collar, w/ anti-kink spring, stainless steel 316</t>
        </is>
      </c>
      <c r="E198" s="30" t="n">
        <v>0.14</v>
      </c>
      <c r="F198" s="24" t="inlineStr">
        <is>
          <t>ESTIMATE - catalogue gives dimensions only (p.68-71)</t>
        </is>
      </c>
      <c r="G198" s="25" t="n">
        <v>24.336224</v>
      </c>
      <c r="H198" s="25" t="n">
        <v>21.294196</v>
      </c>
      <c r="I198" s="25" t="n">
        <v>19.773182</v>
      </c>
      <c r="J198" s="27">
        <f>IF(G198="","",G198/$C$5*(1+$C$8)+$E198*(1+$C$7)*$C$6)</f>
        <v/>
      </c>
      <c r="K198" s="27">
        <f>IF(H198="","",H198/$C$5*(1+$C$8)+$E198*(1+$C$7)*$C$6)</f>
        <v/>
      </c>
      <c r="L198" s="27">
        <f>IF(I198="","",I198/$C$5*(1+$C$8)+$E198*(1+$C$7)*$C$6)</f>
        <v/>
      </c>
      <c r="M198" s="28">
        <f>IF(J198="","",ROUND(J198*(1+$C$9),2))</f>
        <v/>
      </c>
      <c r="N198" s="28">
        <f>IF(K198="","",ROUND(K198*(1+$C$9),2))</f>
        <v/>
      </c>
      <c r="O198" s="28">
        <f>IF(L198="","",ROUND(L198*(1+$C$9),2))</f>
        <v/>
      </c>
      <c r="P198" s="29">
        <f>TRIM(IF($B198="NOT ASSIGNED","No NW part no. ","")&amp;IFERROR(IF(INDEX(Conversion!$J$2:$J$500,MATCH($A198,Conversion!$B$2:$B$500,0))="Needs review","Conversion table: needs review. ",""),"")&amp;IF(LEFT($F198,8)="ESTIMATE","Weight estimated. ","")&amp;"")</f>
        <v/>
      </c>
    </row>
    <row r="199">
      <c r="A199" s="19" t="inlineStr">
        <is>
          <t>SWIFB19-C24</t>
        </is>
      </c>
      <c r="B199" s="20">
        <f>IFERROR(INDEX(Conversion!$C$2:$C$500,MATCH($A199,Conversion!$B$2:$B$500,0)),"NOT ASSIGNED")</f>
        <v/>
      </c>
      <c r="C199" s="21" t="inlineStr">
        <is>
          <t>St.st. full bore swivelling hose tail, 19mm x 1/2" male, 24mm collar</t>
        </is>
      </c>
      <c r="D199" s="22" t="inlineStr">
        <is>
          <t>Swivel hose tail, full bore, 19 mm x 1/2" M, 24 mm collar, stainless steel 316</t>
        </is>
      </c>
      <c r="E199" s="30" t="n">
        <v>0.12</v>
      </c>
      <c r="F199" s="24" t="inlineStr">
        <is>
          <t>ESTIMATE - catalogue gives dimensions only (p.68-71)</t>
        </is>
      </c>
      <c r="G199" s="25" t="n">
        <v>21.3004</v>
      </c>
      <c r="H199" s="25" t="n">
        <v>18.63785</v>
      </c>
      <c r="I199" s="25" t="n">
        <v>17.306575</v>
      </c>
      <c r="J199" s="27">
        <f>IF(G199="","",G199/$C$5*(1+$C$8)+$E199*(1+$C$7)*$C$6)</f>
        <v/>
      </c>
      <c r="K199" s="27">
        <f>IF(H199="","",H199/$C$5*(1+$C$8)+$E199*(1+$C$7)*$C$6)</f>
        <v/>
      </c>
      <c r="L199" s="27">
        <f>IF(I199="","",I199/$C$5*(1+$C$8)+$E199*(1+$C$7)*$C$6)</f>
        <v/>
      </c>
      <c r="M199" s="28">
        <f>IF(J199="","",ROUND(J199*(1+$C$9),2))</f>
        <v/>
      </c>
      <c r="N199" s="28">
        <f>IF(K199="","",ROUND(K199*(1+$C$9),2))</f>
        <v/>
      </c>
      <c r="O199" s="28">
        <f>IF(L199="","",ROUND(L199*(1+$C$9),2))</f>
        <v/>
      </c>
      <c r="P199" s="29">
        <f>TRIM(IF($B199="NOT ASSIGNED","No NW part no. ","")&amp;IFERROR(IF(INDEX(Conversion!$J$2:$J$500,MATCH($A199,Conversion!$B$2:$B$500,0))="Needs review","Conversion table: needs review. ",""),"")&amp;IF(LEFT($F199,8)="ESTIMATE","Weight estimated. ","")&amp;"")</f>
        <v/>
      </c>
    </row>
    <row r="200">
      <c r="A200" s="19" t="inlineStr">
        <is>
          <t>SWIFB19-C24-34</t>
        </is>
      </c>
      <c r="B200" s="20">
        <f>IFERROR(INDEX(Conversion!$C$2:$C$500,MATCH($A200,Conversion!$B$2:$B$500,0)),"NOT ASSIGNED")</f>
        <v/>
      </c>
      <c r="C200" s="21" t="inlineStr">
        <is>
          <t>St.st. full bore swivelling hose tail, 19mm x 3/4" male, 24mm collar</t>
        </is>
      </c>
      <c r="D200" s="22" t="inlineStr">
        <is>
          <t>Swivel hose tail, full bore, 19 mm x 3/4" M, 24 mm collar, stainless steel 316</t>
        </is>
      </c>
      <c r="E200" s="30" t="n">
        <v>0.13</v>
      </c>
      <c r="F200" s="24" t="inlineStr">
        <is>
          <t>ESTIMATE - catalogue gives dimensions only (p.68-71)</t>
        </is>
      </c>
      <c r="G200" s="25" t="n">
        <v>22.317856</v>
      </c>
      <c r="H200" s="25" t="n">
        <v>19.528124</v>
      </c>
      <c r="I200" s="25" t="n">
        <v>18.133258</v>
      </c>
      <c r="J200" s="27">
        <f>IF(G200="","",G200/$C$5*(1+$C$8)+$E200*(1+$C$7)*$C$6)</f>
        <v/>
      </c>
      <c r="K200" s="27">
        <f>IF(H200="","",H200/$C$5*(1+$C$8)+$E200*(1+$C$7)*$C$6)</f>
        <v/>
      </c>
      <c r="L200" s="27">
        <f>IF(I200="","",I200/$C$5*(1+$C$8)+$E200*(1+$C$7)*$C$6)</f>
        <v/>
      </c>
      <c r="M200" s="28">
        <f>IF(J200="","",ROUND(J200*(1+$C$9),2))</f>
        <v/>
      </c>
      <c r="N200" s="28">
        <f>IF(K200="","",ROUND(K200*(1+$C$9),2))</f>
        <v/>
      </c>
      <c r="O200" s="28">
        <f>IF(L200="","",ROUND(L200*(1+$C$9),2))</f>
        <v/>
      </c>
      <c r="P200" s="29">
        <f>TRIM(IF($B200="NOT ASSIGNED","No NW part no. ","")&amp;IFERROR(IF(INDEX(Conversion!$J$2:$J$500,MATCH($A200,Conversion!$B$2:$B$500,0))="Needs review","Conversion table: needs review. ",""),"")&amp;IF(LEFT($F200,8)="ESTIMATE","Weight estimated. ","")&amp;"")</f>
        <v/>
      </c>
    </row>
    <row r="201">
      <c r="A201" s="19" t="inlineStr">
        <is>
          <t>SWIFB19-C24-34S</t>
        </is>
      </c>
      <c r="B201" s="20">
        <f>IFERROR(INDEX(Conversion!$C$2:$C$500,MATCH($A201,Conversion!$B$2:$B$500,0)),"NOT ASSIGNED")</f>
        <v/>
      </c>
      <c r="C201" s="21" t="inlineStr">
        <is>
          <t>St.st. full bore swivelling hose tail, 19mm x 3/4" male, 24mm collar, inside hose protection spring</t>
        </is>
      </c>
      <c r="D201" s="22" t="inlineStr">
        <is>
          <t>Swivel hose tail, full bore, 19 mm x 3/4" M, 24 mm collar, w/ anti-kink spring, stainless steel 316</t>
        </is>
      </c>
      <c r="E201" s="30" t="n">
        <v>0.17</v>
      </c>
      <c r="F201" s="24" t="inlineStr">
        <is>
          <t>ESTIMATE - catalogue gives dimensions only (p.68-71)</t>
        </is>
      </c>
      <c r="G201" s="25" t="n">
        <v>33.26</v>
      </c>
      <c r="H201" s="26" t="n"/>
      <c r="I201" s="26" t="n"/>
      <c r="J201" s="27">
        <f>IF(G201="","",G201/$C$5*(1+$C$8)+$E201*(1+$C$7)*$C$6)</f>
        <v/>
      </c>
      <c r="K201" s="27">
        <f>IF(H201="","",H201/$C$5*(1+$C$8)+$E201*(1+$C$7)*$C$6)</f>
        <v/>
      </c>
      <c r="L201" s="27">
        <f>IF(I201="","",I201/$C$5*(1+$C$8)+$E201*(1+$C$7)*$C$6)</f>
        <v/>
      </c>
      <c r="M201" s="28">
        <f>IF(J201="","",ROUND(J201*(1+$C$9),2))</f>
        <v/>
      </c>
      <c r="N201" s="28">
        <f>IF(K201="","",ROUND(K201*(1+$C$9),2))</f>
        <v/>
      </c>
      <c r="O201" s="28">
        <f>IF(L201="","",ROUND(L201*(1+$C$9),2))</f>
        <v/>
      </c>
      <c r="P201" s="29">
        <f>TRIM(IF($B201="NOT ASSIGNED","No NW part no. ","")&amp;IFERROR(IF(INDEX(Conversion!$J$2:$J$500,MATCH($A201,Conversion!$B$2:$B$500,0))="Needs review","Conversion table: needs review. ",""),"")&amp;IF(LEFT($F201,8)="ESTIMATE","Weight estimated. ","")&amp;"")</f>
        <v/>
      </c>
    </row>
    <row r="202">
      <c r="A202" s="19" t="inlineStr">
        <is>
          <t>SWIFB19-C24-SP</t>
        </is>
      </c>
      <c r="B202" s="20">
        <f>IFERROR(INDEX(Conversion!$C$2:$C$500,MATCH($A202,Conversion!$B$2:$B$500,0)),"NOT ASSIGNED")</f>
        <v/>
      </c>
      <c r="C202" s="21" t="inlineStr">
        <is>
          <t>St.st. full bore swivelling hose tail, 19mm x 1/2" male, 24mm collar, inside hose protection spring</t>
        </is>
      </c>
      <c r="D202" s="22" t="inlineStr">
        <is>
          <t>Swivel hose tail, full bore, 19 mm x 1/2" M, 24 mm collar, w/ anti-kink spring, stainless steel 316</t>
        </is>
      </c>
      <c r="E202" s="30" t="n">
        <v>0.16</v>
      </c>
      <c r="F202" s="24" t="inlineStr">
        <is>
          <t>ESTIMATE - catalogue gives dimensions only (p.68-71)</t>
        </is>
      </c>
      <c r="G202" s="25" t="n">
        <v>25.35368</v>
      </c>
      <c r="H202" s="25" t="n">
        <v>22.18447</v>
      </c>
      <c r="I202" s="25" t="n">
        <v>20.599865</v>
      </c>
      <c r="J202" s="27">
        <f>IF(G202="","",G202/$C$5*(1+$C$8)+$E202*(1+$C$7)*$C$6)</f>
        <v/>
      </c>
      <c r="K202" s="27">
        <f>IF(H202="","",H202/$C$5*(1+$C$8)+$E202*(1+$C$7)*$C$6)</f>
        <v/>
      </c>
      <c r="L202" s="27">
        <f>IF(I202="","",I202/$C$5*(1+$C$8)+$E202*(1+$C$7)*$C$6)</f>
        <v/>
      </c>
      <c r="M202" s="28">
        <f>IF(J202="","",ROUND(J202*(1+$C$9),2))</f>
        <v/>
      </c>
      <c r="N202" s="28">
        <f>IF(K202="","",ROUND(K202*(1+$C$9),2))</f>
        <v/>
      </c>
      <c r="O202" s="28">
        <f>IF(L202="","",ROUND(L202*(1+$C$9),2))</f>
        <v/>
      </c>
      <c r="P202" s="29">
        <f>TRIM(IF($B202="NOT ASSIGNED","No NW part no. ","")&amp;IFERROR(IF(INDEX(Conversion!$J$2:$J$500,MATCH($A202,Conversion!$B$2:$B$500,0))="Needs review","Conversion table: needs review. ",""),"")&amp;IF(LEFT($F202,8)="ESTIMATE","Weight estimated. ","")&amp;"")</f>
        <v/>
      </c>
    </row>
    <row r="204">
      <c r="A204" s="14" t="inlineStr">
        <is>
          <t>Hose tails</t>
        </is>
      </c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</row>
    <row r="206">
      <c r="A206" s="16" t="inlineStr">
        <is>
          <t>Qty break</t>
        </is>
      </c>
      <c r="B206" s="17" t="n"/>
      <c r="C206" s="17" t="n"/>
      <c r="D206" s="17" t="n"/>
      <c r="E206" s="17" t="n"/>
      <c r="F206" s="17" t="n"/>
      <c r="G206" s="18" t="inlineStr">
        <is>
          <t>&lt; 10 pcs</t>
        </is>
      </c>
      <c r="H206" s="18" t="inlineStr">
        <is>
          <t>≥ 10 pcs</t>
        </is>
      </c>
      <c r="I206" s="18" t="inlineStr">
        <is>
          <t>≥ 50 pcs</t>
        </is>
      </c>
      <c r="J206" s="18" t="inlineStr">
        <is>
          <t>&lt; 10 pcs</t>
        </is>
      </c>
      <c r="K206" s="18" t="inlineStr">
        <is>
          <t>≥ 10 pcs</t>
        </is>
      </c>
      <c r="L206" s="18" t="inlineStr">
        <is>
          <t>≥ 50 pcs</t>
        </is>
      </c>
      <c r="M206" s="18" t="inlineStr">
        <is>
          <t>&lt; 10 pcs</t>
        </is>
      </c>
      <c r="N206" s="18" t="inlineStr">
        <is>
          <t>≥ 10 pcs</t>
        </is>
      </c>
      <c r="O206" s="18" t="inlineStr">
        <is>
          <t>≥ 50 pcs</t>
        </is>
      </c>
      <c r="P206" s="17" t="n"/>
    </row>
    <row r="207">
      <c r="A207" s="31" t="inlineStr">
        <is>
          <t>Brass</t>
        </is>
      </c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  <c r="O207" s="32" t="n"/>
      <c r="P207" s="32" t="n"/>
    </row>
    <row r="209">
      <c r="A209" s="19" t="inlineStr">
        <is>
          <t>MESS013</t>
        </is>
      </c>
      <c r="B209" s="20">
        <f>IFERROR(INDEX(Conversion!$C$2:$C$500,MATCH($A209,Conversion!$B$2:$B$500,0)),"NOT ASSIGNED")</f>
        <v/>
      </c>
      <c r="C209" s="21" t="inlineStr">
        <is>
          <t>Brass hose tail, 1/2" male x 13mm</t>
        </is>
      </c>
      <c r="D209" s="22" t="inlineStr">
        <is>
          <t>Hose tail, 13 mm x 1/2" M, brass</t>
        </is>
      </c>
      <c r="E209" s="30" t="n">
        <v>0.03</v>
      </c>
      <c r="F209" s="24" t="inlineStr">
        <is>
          <t>ESTIMATE - catalogue gives dimensions only (p.68-71)</t>
        </is>
      </c>
      <c r="G209" s="25" t="n">
        <v>2.076272</v>
      </c>
      <c r="H209" s="25" t="n">
        <v>1.816738</v>
      </c>
      <c r="I209" s="25" t="n">
        <v>1.686971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</row>
    <row r="210">
      <c r="A210" s="19" t="inlineStr">
        <is>
          <t>MESS019</t>
        </is>
      </c>
      <c r="B210" s="20">
        <f>IFERROR(INDEX(Conversion!$C$2:$C$500,MATCH($A210,Conversion!$B$2:$B$500,0)),"NOT ASSIGNED")</f>
        <v/>
      </c>
      <c r="C210" s="21" t="inlineStr">
        <is>
          <t>Brass hose tail, 1/2" male x 19mm</t>
        </is>
      </c>
      <c r="D210" s="22" t="inlineStr">
        <is>
          <t>Hose tail, 19 mm x 1/2" M, brass</t>
        </is>
      </c>
      <c r="E210" s="30" t="n">
        <v>0.04</v>
      </c>
      <c r="F210" s="24" t="inlineStr">
        <is>
          <t>ESTIMATE - catalogue gives dimensions only (p.68-71)</t>
        </is>
      </c>
      <c r="G210" s="25" t="n">
        <v>2.142448</v>
      </c>
      <c r="H210" s="25" t="n">
        <v>1.874642</v>
      </c>
      <c r="I210" s="25" t="n">
        <v>1.740739</v>
      </c>
      <c r="J210" s="27">
        <f>IF(G210="","",G210/$C$5*(1+$C$8)+$E210*(1+$C$7)*$C$6)</f>
        <v/>
      </c>
      <c r="K210" s="27">
        <f>IF(H210="","",H210/$C$5*(1+$C$8)+$E210*(1+$C$7)*$C$6)</f>
        <v/>
      </c>
      <c r="L210" s="27">
        <f>IF(I210="","",I210/$C$5*(1+$C$8)+$E210*(1+$C$7)*$C$6)</f>
        <v/>
      </c>
      <c r="M210" s="28">
        <f>IF(J210="","",ROUND(J210*(1+$C$9),2))</f>
        <v/>
      </c>
      <c r="N210" s="28">
        <f>IF(K210="","",ROUND(K210*(1+$C$9),2))</f>
        <v/>
      </c>
      <c r="O210" s="28">
        <f>IF(L210="","",ROUND(L210*(1+$C$9),2))</f>
        <v/>
      </c>
      <c r="P210" s="29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</row>
    <row r="211">
      <c r="A211" s="19" t="inlineStr">
        <is>
          <t>MESS025</t>
        </is>
      </c>
      <c r="B211" s="20">
        <f>IFERROR(INDEX(Conversion!$C$2:$C$500,MATCH($A211,Conversion!$B$2:$B$500,0)),"NOT ASSIGNED")</f>
        <v/>
      </c>
      <c r="C211" s="21" t="inlineStr">
        <is>
          <t>Brass hose tail, 1/2" male x 25mm</t>
        </is>
      </c>
      <c r="D211" s="22" t="inlineStr">
        <is>
          <t>Hose tail, 25 mm x 1/2" M, brass</t>
        </is>
      </c>
      <c r="E211" s="30" t="n">
        <v>0.06</v>
      </c>
      <c r="F211" s="24" t="inlineStr">
        <is>
          <t>ESTIMATE - catalogue gives dimensions only (p.68-71)</t>
        </is>
      </c>
      <c r="G211" s="25" t="n">
        <v>7.750864</v>
      </c>
      <c r="H211" s="25" t="n">
        <v>6.782006</v>
      </c>
      <c r="I211" s="25" t="n">
        <v>6.297577</v>
      </c>
      <c r="J211" s="27">
        <f>IF(G211="","",G211/$C$5*(1+$C$8)+$E211*(1+$C$7)*$C$6)</f>
        <v/>
      </c>
      <c r="K211" s="27">
        <f>IF(H211="","",H211/$C$5*(1+$C$8)+$E211*(1+$C$7)*$C$6)</f>
        <v/>
      </c>
      <c r="L211" s="27">
        <f>IF(I211="","",I211/$C$5*(1+$C$8)+$E211*(1+$C$7)*$C$6)</f>
        <v/>
      </c>
      <c r="M211" s="28">
        <f>IF(J211="","",ROUND(J211*(1+$C$9),2))</f>
        <v/>
      </c>
      <c r="N211" s="28">
        <f>IF(K211="","",ROUND(K211*(1+$C$9),2))</f>
        <v/>
      </c>
      <c r="O211" s="28">
        <f>IF(L211="","",ROUND(L211*(1+$C$9),2))</f>
        <v/>
      </c>
      <c r="P211" s="29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</row>
    <row r="213">
      <c r="A213" s="31" t="inlineStr">
        <is>
          <t>Chrome plated brass</t>
        </is>
      </c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  <c r="O213" s="32" t="n"/>
      <c r="P213" s="32" t="n"/>
    </row>
    <row r="215">
      <c r="A215" s="19" t="inlineStr">
        <is>
          <t>MESC013</t>
        </is>
      </c>
      <c r="B215" s="20">
        <f>IFERROR(INDEX(Conversion!$C$2:$C$500,MATCH($A215,Conversion!$B$2:$B$500,0)),"NOT ASSIGNED")</f>
        <v/>
      </c>
      <c r="C215" s="21" t="inlineStr">
        <is>
          <t>Chrome plated brass hose tail, 1/2" BSP male with O-ring x 13mm</t>
        </is>
      </c>
      <c r="D215" s="22" t="inlineStr">
        <is>
          <t>Hose tail, 13 mm x 1/2" M, w/ O-ring, chrome-plated brass</t>
        </is>
      </c>
      <c r="E215" s="30" t="n">
        <v>0.035</v>
      </c>
      <c r="F215" s="24" t="inlineStr">
        <is>
          <t>ESTIMATE - catalogue gives dimensions only (p.68-71)</t>
        </is>
      </c>
      <c r="G215" s="25" t="n">
        <v>3.747216</v>
      </c>
      <c r="H215" s="25" t="n">
        <v>3.278814</v>
      </c>
      <c r="I215" s="25" t="n">
        <v>3.044613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</row>
    <row r="216">
      <c r="A216" s="19" t="inlineStr">
        <is>
          <t>MESC016</t>
        </is>
      </c>
      <c r="B216" s="20">
        <f>IFERROR(INDEX(Conversion!$C$2:$C$500,MATCH($A216,Conversion!$B$2:$B$500,0)),"NOT ASSIGNED")</f>
        <v/>
      </c>
      <c r="C216" s="21" t="inlineStr">
        <is>
          <t>Chrome plated brass hose tail, 1/2" BSP male with O-ring x 16mm</t>
        </is>
      </c>
      <c r="D216" s="22" t="inlineStr">
        <is>
          <t>Hose tail, 16 mm x 1/2" M, w/ O-ring, chrome-plated brass</t>
        </is>
      </c>
      <c r="E216" s="30" t="n">
        <v>0.04</v>
      </c>
      <c r="F216" s="24" t="inlineStr">
        <is>
          <t>ESTIMATE - catalogue gives dimensions only (p.68-71)</t>
        </is>
      </c>
      <c r="G216" s="25" t="n">
        <v>4.152544</v>
      </c>
      <c r="H216" s="25" t="n">
        <v>3.633476</v>
      </c>
      <c r="I216" s="25" t="n">
        <v>3.373942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</row>
    <row r="217">
      <c r="A217" s="19" t="inlineStr">
        <is>
          <t>MESC019</t>
        </is>
      </c>
      <c r="B217" s="20">
        <f>IFERROR(INDEX(Conversion!$C$2:$C$500,MATCH($A217,Conversion!$B$2:$B$500,0)),"NOT ASSIGNED")</f>
        <v/>
      </c>
      <c r="C217" s="21" t="inlineStr">
        <is>
          <t>Chrome plated brass hose tail, 1/2" BSP male with O-ring x 19mm</t>
        </is>
      </c>
      <c r="D217" s="22" t="inlineStr">
        <is>
          <t>Hose tail, 19 mm x 1/2" M, w/ O-ring, chrome-plated brass</t>
        </is>
      </c>
      <c r="E217" s="30" t="n">
        <v>0.045</v>
      </c>
      <c r="F217" s="24" t="inlineStr">
        <is>
          <t>ESTIMATE - catalogue gives dimensions only (p.68-71)</t>
        </is>
      </c>
      <c r="G217" s="25" t="n">
        <v>4.309712</v>
      </c>
      <c r="H217" s="25" t="n">
        <v>3.770998</v>
      </c>
      <c r="I217" s="25" t="n">
        <v>3.501641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</row>
    <row r="219">
      <c r="A219" s="31" t="inlineStr">
        <is>
          <t>Stainless steel</t>
        </is>
      </c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  <c r="O219" s="32" t="n"/>
      <c r="P219" s="32" t="n"/>
    </row>
    <row r="221">
      <c r="A221" s="19" t="inlineStr">
        <is>
          <t>RVST013-C17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13mm, 17mm collar</t>
        </is>
      </c>
      <c r="D221" s="22" t="inlineStr">
        <is>
          <t>Hose tail, 13 mm x 1/2" M, 17 mm collar, stainless steel 316</t>
        </is>
      </c>
      <c r="E221" s="30" t="n">
        <v>0.04</v>
      </c>
      <c r="F221" s="24" t="inlineStr">
        <is>
          <t>ESTIMATE - catalogue gives dimensions only (p.68-71)</t>
        </is>
      </c>
      <c r="G221" s="25" t="n">
        <v>7.69296</v>
      </c>
      <c r="H221" s="25" t="n">
        <v>6.73134</v>
      </c>
      <c r="I221" s="25" t="n">
        <v>6.25053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</row>
    <row r="222">
      <c r="A222" s="19" t="inlineStr">
        <is>
          <t>RVST013-C17-SP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13mm, 17mm collar, inside hose protection spring</t>
        </is>
      </c>
      <c r="D222" s="22" t="inlineStr">
        <is>
          <t>Hose tail, 13 mm x 1/2" M, 17 mm collar, w/ anti-kink spring, stainless steel 316</t>
        </is>
      </c>
      <c r="E222" s="30" t="n">
        <v>0.08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</row>
    <row r="223">
      <c r="A223" s="19" t="inlineStr">
        <is>
          <t>RVST013-C20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13mm, 20mm collar</t>
        </is>
      </c>
      <c r="D223" s="22" t="inlineStr">
        <is>
          <t>Hose tail, 13 mm x 1/2" M, 20 mm collar, stainless steel 316</t>
        </is>
      </c>
      <c r="E223" s="30" t="n">
        <v>0.04</v>
      </c>
      <c r="F223" s="24" t="inlineStr">
        <is>
          <t>ESTIMATE - catalogue gives dimensions only (p.68-71)</t>
        </is>
      </c>
      <c r="G223" s="25" t="n">
        <v>7.69296</v>
      </c>
      <c r="H223" s="25" t="n">
        <v>6.73134</v>
      </c>
      <c r="I223" s="25" t="n">
        <v>6.25053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</row>
    <row r="224">
      <c r="A224" s="19" t="inlineStr">
        <is>
          <t>RVST013-C20-12F</t>
        </is>
      </c>
      <c r="B224" s="20">
        <f>IFERROR(INDEX(Conversion!$C$2:$C$500,MATCH($A224,Conversion!$B$2:$B$500,0)),"NOT ASSIGNED")</f>
        <v/>
      </c>
      <c r="C224" s="21" t="inlineStr">
        <is>
          <t>St.st. hose tail, 1/2" female x 13mm, 20mm collar</t>
        </is>
      </c>
      <c r="D224" s="22" t="inlineStr">
        <is>
          <t>Hose tail, 13 mm x 1/2" F, 20 mm collar, stainless steel 316</t>
        </is>
      </c>
      <c r="E224" s="30" t="n">
        <v>0.05</v>
      </c>
      <c r="F224" s="24" t="inlineStr">
        <is>
          <t>ESTIMATE - catalogue gives dimensions only (p.68-71)</t>
        </is>
      </c>
      <c r="G224" s="25" t="n">
        <v>7.69296</v>
      </c>
      <c r="H224" s="25" t="n">
        <v>6.73134</v>
      </c>
      <c r="I224" s="25" t="n">
        <v>6.25053</v>
      </c>
      <c r="J224" s="27">
        <f>IF(G224="","",G224/$C$5*(1+$C$8)+$E224*(1+$C$7)*$C$6)</f>
        <v/>
      </c>
      <c r="K224" s="27">
        <f>IF(H224="","",H224/$C$5*(1+$C$8)+$E224*(1+$C$7)*$C$6)</f>
        <v/>
      </c>
      <c r="L224" s="27">
        <f>IF(I224="","",I224/$C$5*(1+$C$8)+$E224*(1+$C$7)*$C$6)</f>
        <v/>
      </c>
      <c r="M224" s="28">
        <f>IF(J224="","",ROUND(J224*(1+$C$9),2))</f>
        <v/>
      </c>
      <c r="N224" s="28">
        <f>IF(K224="","",ROUND(K224*(1+$C$9),2))</f>
        <v/>
      </c>
      <c r="O224" s="28">
        <f>IF(L224="","",ROUND(L224*(1+$C$9),2))</f>
        <v/>
      </c>
      <c r="P224" s="29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</row>
    <row r="225">
      <c r="A225" s="19" t="inlineStr">
        <is>
          <t>RVST013-C20-34F</t>
        </is>
      </c>
      <c r="B225" s="20">
        <f>IFERROR(INDEX(Conversion!$C$2:$C$500,MATCH($A225,Conversion!$B$2:$B$500,0)),"NOT ASSIGNED")</f>
        <v/>
      </c>
      <c r="C225" s="21" t="inlineStr">
        <is>
          <t>St.st. hose tail, 3/4" female x 13mm, 20mm collar</t>
        </is>
      </c>
      <c r="D225" s="22" t="inlineStr">
        <is>
          <t>Hose tail, 13 mm x 3/4" F, 20 mm collar, stainless steel 316</t>
        </is>
      </c>
      <c r="E225" s="30" t="n">
        <v>0.06</v>
      </c>
      <c r="F225" s="24" t="inlineStr">
        <is>
          <t>ESTIMATE - catalogue gives dimensions only (p.68-71)</t>
        </is>
      </c>
      <c r="G225" s="25" t="n">
        <v>7.69296</v>
      </c>
      <c r="H225" s="25" t="n">
        <v>6.73134</v>
      </c>
      <c r="I225" s="25" t="n">
        <v>6.25053</v>
      </c>
      <c r="J225" s="27">
        <f>IF(G225="","",G225/$C$5*(1+$C$8)+$E225*(1+$C$7)*$C$6)</f>
        <v/>
      </c>
      <c r="K225" s="27">
        <f>IF(H225="","",H225/$C$5*(1+$C$8)+$E225*(1+$C$7)*$C$6)</f>
        <v/>
      </c>
      <c r="L225" s="27">
        <f>IF(I225="","",I225/$C$5*(1+$C$8)+$E225*(1+$C$7)*$C$6)</f>
        <v/>
      </c>
      <c r="M225" s="28">
        <f>IF(J225="","",ROUND(J225*(1+$C$9),2))</f>
        <v/>
      </c>
      <c r="N225" s="28">
        <f>IF(K225="","",ROUND(K225*(1+$C$9),2))</f>
        <v/>
      </c>
      <c r="O225" s="28">
        <f>IF(L225="","",ROUND(L225*(1+$C$9),2))</f>
        <v/>
      </c>
      <c r="P225" s="29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</row>
    <row r="226">
      <c r="A226" s="19" t="inlineStr">
        <is>
          <t>RVST013-C20-SP</t>
        </is>
      </c>
      <c r="B226" s="20">
        <f>IFERROR(INDEX(Conversion!$C$2:$C$500,MATCH($A226,Conversion!$B$2:$B$500,0)),"NOT ASSIGNED")</f>
        <v/>
      </c>
      <c r="C226" s="21" t="inlineStr">
        <is>
          <t>St.st. hose tail, 1/2" male x 13mm, 20mm collar, inside hose protection spring</t>
        </is>
      </c>
      <c r="D226" s="22" t="inlineStr">
        <is>
          <t>Hose tail, 13 mm x 1/2" M, 20 mm collar, w/ anti-kink spring, stainless steel 316</t>
        </is>
      </c>
      <c r="E226" s="30" t="n">
        <v>0.08</v>
      </c>
      <c r="F226" s="24" t="inlineStr">
        <is>
          <t>ESTIMATE - catalogue gives dimensions only (p.68-71)</t>
        </is>
      </c>
      <c r="G226" s="25" t="n">
        <v>13.946592</v>
      </c>
      <c r="H226" s="25" t="n">
        <v>12.203268</v>
      </c>
      <c r="I226" s="25" t="n">
        <v>11.331606</v>
      </c>
      <c r="J226" s="27">
        <f>IF(G226="","",G226/$C$5*(1+$C$8)+$E226*(1+$C$7)*$C$6)</f>
        <v/>
      </c>
      <c r="K226" s="27">
        <f>IF(H226="","",H226/$C$5*(1+$C$8)+$E226*(1+$C$7)*$C$6)</f>
        <v/>
      </c>
      <c r="L226" s="27">
        <f>IF(I226="","",I226/$C$5*(1+$C$8)+$E226*(1+$C$7)*$C$6)</f>
        <v/>
      </c>
      <c r="M226" s="28">
        <f>IF(J226="","",ROUND(J226*(1+$C$9),2))</f>
        <v/>
      </c>
      <c r="N226" s="28">
        <f>IF(K226="","",ROUND(K226*(1+$C$9),2))</f>
        <v/>
      </c>
      <c r="O226" s="28">
        <f>IF(L226="","",ROUND(L226*(1+$C$9),2))</f>
        <v/>
      </c>
      <c r="P226" s="29">
        <f>TRIM(IF($B226="NOT ASSIGNED","No NW part no. ","")&amp;IFERROR(IF(INDEX(Conversion!$J$2:$J$500,MATCH($A226,Conversion!$B$2:$B$500,0))="Needs review","Conversion table: needs review. ",""),"")&amp;IF(LEFT($F226,8)="ESTIMATE","Weight estimated. ","")&amp;"")</f>
        <v/>
      </c>
    </row>
    <row r="227">
      <c r="A227" s="19" t="inlineStr">
        <is>
          <t>RVST016-C21</t>
        </is>
      </c>
      <c r="B227" s="20">
        <f>IFERROR(INDEX(Conversion!$C$2:$C$500,MATCH($A227,Conversion!$B$2:$B$500,0)),"NOT ASSIGNED")</f>
        <v/>
      </c>
      <c r="C227" s="21" t="inlineStr">
        <is>
          <t>St.st. hose tail, 1/2" male x 16mm, 21mm collar</t>
        </is>
      </c>
      <c r="D227" s="22" t="inlineStr">
        <is>
          <t>Hose tail, 16 mm x 1/2" M, 21 mm collar, stainless steel 316</t>
        </is>
      </c>
      <c r="E227" s="30" t="n">
        <v>0.05</v>
      </c>
      <c r="F227" s="24" t="inlineStr">
        <is>
          <t>ESTIMATE - catalogue gives dimensions only (p.68-71)</t>
        </is>
      </c>
      <c r="G227" s="25" t="n">
        <v>7.69296</v>
      </c>
      <c r="H227" s="25" t="n">
        <v>6.73134</v>
      </c>
      <c r="I227" s="25" t="n">
        <v>6.25053</v>
      </c>
      <c r="J227" s="27">
        <f>IF(G227="","",G227/$C$5*(1+$C$8)+$E227*(1+$C$7)*$C$6)</f>
        <v/>
      </c>
      <c r="K227" s="27">
        <f>IF(H227="","",H227/$C$5*(1+$C$8)+$E227*(1+$C$7)*$C$6)</f>
        <v/>
      </c>
      <c r="L227" s="27">
        <f>IF(I227="","",I227/$C$5*(1+$C$8)+$E227*(1+$C$7)*$C$6)</f>
        <v/>
      </c>
      <c r="M227" s="28">
        <f>IF(J227="","",ROUND(J227*(1+$C$9),2))</f>
        <v/>
      </c>
      <c r="N227" s="28">
        <f>IF(K227="","",ROUND(K227*(1+$C$9),2))</f>
        <v/>
      </c>
      <c r="O227" s="28">
        <f>IF(L227="","",ROUND(L227*(1+$C$9),2))</f>
        <v/>
      </c>
      <c r="P227" s="29">
        <f>TRIM(IF($B227="NOT ASSIGNED","No NW part no. ","")&amp;IFERROR(IF(INDEX(Conversion!$J$2:$J$500,MATCH($A227,Conversion!$B$2:$B$500,0))="Needs review","Conversion table: needs review. ",""),"")&amp;IF(LEFT($F227,8)="ESTIMATE","Weight estimated. ","")&amp;"")</f>
        <v/>
      </c>
    </row>
    <row r="228">
      <c r="A228" s="19" t="inlineStr">
        <is>
          <t>RVST016-C21-SP</t>
        </is>
      </c>
      <c r="B228" s="20">
        <f>IFERROR(INDEX(Conversion!$C$2:$C$500,MATCH($A228,Conversion!$B$2:$B$500,0)),"NOT ASSIGNED")</f>
        <v/>
      </c>
      <c r="C228" s="21" t="inlineStr">
        <is>
          <t>St.st. hose tail, 1/2" male x 16mm, 21mm collar, inside hose protection spring</t>
        </is>
      </c>
      <c r="D228" s="22" t="inlineStr">
        <is>
          <t>Hose tail, 16 mm x 1/2" M, 21 mm collar, w/ anti-kink spring, stainless steel 316</t>
        </is>
      </c>
      <c r="E228" s="30" t="n">
        <v>0.09</v>
      </c>
      <c r="F228" s="24" t="inlineStr">
        <is>
          <t>ESTIMATE - catalogue gives dimensions only (p.68-71)</t>
        </is>
      </c>
      <c r="G228" s="25" t="n">
        <v>13.946592</v>
      </c>
      <c r="H228" s="25" t="n">
        <v>12.203268</v>
      </c>
      <c r="I228" s="25" t="n">
        <v>11.331606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</row>
    <row r="229">
      <c r="A229" s="19" t="inlineStr">
        <is>
          <t>RVST019-C24</t>
        </is>
      </c>
      <c r="B229" s="20">
        <f>IFERROR(INDEX(Conversion!$C$2:$C$500,MATCH($A229,Conversion!$B$2:$B$500,0)),"NOT ASSIGNED")</f>
        <v/>
      </c>
      <c r="C229" s="21" t="inlineStr">
        <is>
          <t>St.st. hose tail, 1/2" male x 19mm, 24mm collar</t>
        </is>
      </c>
      <c r="D229" s="22" t="inlineStr">
        <is>
          <t>Hose tail, 19 mm x 1/2" M, 24 mm collar, stainless steel 316</t>
        </is>
      </c>
      <c r="E229" s="30" t="n">
        <v>0.06</v>
      </c>
      <c r="F229" s="24" t="inlineStr">
        <is>
          <t>ESTIMATE - catalogue gives dimensions only (p.68-71)</t>
        </is>
      </c>
      <c r="G229" s="25" t="n">
        <v>8.114832</v>
      </c>
      <c r="H229" s="25" t="n">
        <v>7.100478</v>
      </c>
      <c r="I229" s="25" t="n">
        <v>6.593301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</row>
    <row r="230">
      <c r="A230" s="19" t="inlineStr">
        <is>
          <t>RVST019-C24-SP</t>
        </is>
      </c>
      <c r="B230" s="20">
        <f>IFERROR(INDEX(Conversion!$C$2:$C$500,MATCH($A230,Conversion!$B$2:$B$500,0)),"NOT ASSIGNED")</f>
        <v/>
      </c>
      <c r="C230" s="21" t="inlineStr">
        <is>
          <t>St.st. hose tail, 1/2" male x 19mm, 24mm collar, inside hose protection spring</t>
        </is>
      </c>
      <c r="D230" s="22" t="inlineStr">
        <is>
          <t>Hose tail, 19 mm x 1/2" M, 24 mm collar, w/ anti-kink spring, stainless steel 316</t>
        </is>
      </c>
      <c r="E230" s="30" t="n">
        <v>0.1</v>
      </c>
      <c r="F230" s="24" t="inlineStr">
        <is>
          <t>ESTIMATE - catalogue gives dimensions only (p.68-71)</t>
        </is>
      </c>
      <c r="G230" s="25" t="n">
        <v>13.946592</v>
      </c>
      <c r="H230" s="25" t="n">
        <v>12.203268</v>
      </c>
      <c r="I230" s="25" t="n">
        <v>11.331606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</row>
    <row r="231">
      <c r="A231" s="19" t="inlineStr">
        <is>
          <t>RVST025</t>
        </is>
      </c>
      <c r="B231" s="20">
        <f>IFERROR(INDEX(Conversion!$C$2:$C$500,MATCH($A231,Conversion!$B$2:$B$500,0)),"NOT ASSIGNED")</f>
        <v/>
      </c>
      <c r="C231" s="21" t="inlineStr">
        <is>
          <t>St.st. hose tail, 1/2" male x 25mm</t>
        </is>
      </c>
      <c r="D231" s="22" t="inlineStr">
        <is>
          <t>Hose tail, 25 mm x 1/2" M, stainless steel 316</t>
        </is>
      </c>
      <c r="E231" s="30" t="n">
        <v>0.06</v>
      </c>
      <c r="F231" s="24" t="inlineStr">
        <is>
          <t>ESTIMATE - catalogue gives dimensions only (p.68-71)</t>
        </is>
      </c>
      <c r="G231" s="25" t="n">
        <v>14.815152</v>
      </c>
      <c r="H231" s="25" t="n">
        <v>12.963258</v>
      </c>
      <c r="I231" s="25" t="n">
        <v>12.037311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</row>
    <row r="233">
      <c r="A233" s="16" t="inlineStr">
        <is>
          <t>Qty break</t>
        </is>
      </c>
      <c r="B233" s="17" t="n"/>
      <c r="C233" s="17" t="n"/>
      <c r="D233" s="17" t="n"/>
      <c r="E233" s="17" t="n"/>
      <c r="F233" s="17" t="n"/>
      <c r="G233" s="18" t="inlineStr">
        <is>
          <t>&lt; 10 pcs</t>
        </is>
      </c>
      <c r="H233" s="18" t="inlineStr">
        <is>
          <t>≥ 10 pcs</t>
        </is>
      </c>
      <c r="I233" s="18" t="inlineStr">
        <is>
          <t>≥ 50 pcs</t>
        </is>
      </c>
      <c r="J233" s="18" t="inlineStr">
        <is>
          <t>&lt; 10 pcs</t>
        </is>
      </c>
      <c r="K233" s="18" t="inlineStr">
        <is>
          <t>≥ 10 pcs</t>
        </is>
      </c>
      <c r="L233" s="18" t="inlineStr">
        <is>
          <t>≥ 50 pcs</t>
        </is>
      </c>
      <c r="M233" s="18" t="inlineStr">
        <is>
          <t>&lt; 10 pcs</t>
        </is>
      </c>
      <c r="N233" s="18" t="inlineStr">
        <is>
          <t>≥ 10 pcs</t>
        </is>
      </c>
      <c r="O233" s="18" t="inlineStr">
        <is>
          <t>≥ 50 pcs</t>
        </is>
      </c>
      <c r="P233" s="17" t="n"/>
    </row>
    <row r="234">
      <c r="A234" s="19" t="inlineStr">
        <is>
          <t>RVSW13C17-12C</t>
        </is>
      </c>
      <c r="B234" s="20">
        <f>IFERROR(INDEX(Conversion!$C$2:$C$500,MATCH($A234,Conversion!$B$2:$B$500,0)),"NOT ASSIGNED")</f>
        <v/>
      </c>
      <c r="C234" s="21" t="inlineStr">
        <is>
          <t>St.st. hose tail 13mm x 1/2" BSP female screw cap with conical seal, 17mm collar</t>
        </is>
      </c>
      <c r="D234" s="22" t="inlineStr">
        <is>
          <t>Hose tail w/ union nut, 13 mm x 1/2" F, conical seal, 17 mm collar, stainless steel 316</t>
        </is>
      </c>
      <c r="E234" s="30" t="n">
        <v>0.06</v>
      </c>
      <c r="F234" s="24" t="inlineStr">
        <is>
          <t>ESTIMATE - catalogue gives dimensions only (p.68-71)</t>
        </is>
      </c>
      <c r="G234" s="25" t="n">
        <v>17.43324</v>
      </c>
      <c r="H234" s="25" t="n">
        <v>13.946592</v>
      </c>
      <c r="I234" s="25" t="n">
        <v>12.203268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</row>
    <row r="235">
      <c r="A235" s="19" t="inlineStr">
        <is>
          <t>RVSW13C17-34F</t>
        </is>
      </c>
      <c r="B235" s="20">
        <f>IFERROR(INDEX(Conversion!$C$2:$C$500,MATCH($A235,Conversion!$B$2:$B$500,0)),"NOT ASSIGNED")</f>
        <v/>
      </c>
      <c r="C235" s="21" t="inlineStr">
        <is>
          <t>St.st. hose tail 13mm x 3/4" BSP female screw cap with flat seal, 17mm collar</t>
        </is>
      </c>
      <c r="D235" s="22" t="inlineStr">
        <is>
          <t>Hose tail w/ union nut, 13 mm x 3/4" F, flat seal, 17 mm collar, stainless steel 316</t>
        </is>
      </c>
      <c r="E235" s="30" t="n">
        <v>0.07000000000000001</v>
      </c>
      <c r="F235" s="24" t="inlineStr">
        <is>
          <t>ESTIMATE - catalogue gives dimensions only (p.68-71)</t>
        </is>
      </c>
      <c r="G235" s="25" t="n">
        <v>17.43324</v>
      </c>
      <c r="H235" s="25" t="n">
        <v>13.946592</v>
      </c>
      <c r="I235" s="25" t="n">
        <v>12.203268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</row>
    <row r="236">
      <c r="A236" s="19" t="inlineStr">
        <is>
          <t>RVSW13C20-12C</t>
        </is>
      </c>
      <c r="B236" s="20">
        <f>IFERROR(INDEX(Conversion!$C$2:$C$500,MATCH($A236,Conversion!$B$2:$B$500,0)),"NOT ASSIGNED")</f>
        <v/>
      </c>
      <c r="C236" s="21" t="inlineStr">
        <is>
          <t>St.st. hose tail 13mm x 1/2" BSP female screw cap with conical seal, 20mm collar</t>
        </is>
      </c>
      <c r="D236" s="22" t="inlineStr">
        <is>
          <t>Hose tail w/ union nut, 13 mm x 1/2" F, conical seal, 20 mm collar, stainless steel 316</t>
        </is>
      </c>
      <c r="E236" s="30" t="n">
        <v>0.06</v>
      </c>
      <c r="F236" s="24" t="inlineStr">
        <is>
          <t>ESTIMATE - catalogue gives dimensions only (p.68-71)</t>
        </is>
      </c>
      <c r="G236" s="25" t="n">
        <v>17.43324</v>
      </c>
      <c r="H236" s="25" t="n">
        <v>13.946592</v>
      </c>
      <c r="I236" s="25" t="n">
        <v>12.203268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</row>
    <row r="237">
      <c r="A237" s="19" t="inlineStr">
        <is>
          <t>RVSW13C20-12F</t>
        </is>
      </c>
      <c r="B237" s="20">
        <f>IFERROR(INDEX(Conversion!$C$2:$C$500,MATCH($A237,Conversion!$B$2:$B$500,0)),"NOT ASSIGNED")</f>
        <v/>
      </c>
      <c r="C237" s="21" t="inlineStr">
        <is>
          <t>St.st. hose tail 13mm x 1/2" BSP female screw cap with flat seal, 20mm collar</t>
        </is>
      </c>
      <c r="D237" s="22" t="inlineStr">
        <is>
          <t>Hose tail w/ union nut, 13 mm x 1/2" F, flat seal, 20 mm collar, stainless steel 316</t>
        </is>
      </c>
      <c r="E237" s="30" t="n">
        <v>0.06</v>
      </c>
      <c r="F237" s="24" t="inlineStr">
        <is>
          <t>ESTIMATE - catalogue gives dimensions only (p.68-71)</t>
        </is>
      </c>
      <c r="G237" s="25" t="n">
        <v>17.43324</v>
      </c>
      <c r="H237" s="25" t="n">
        <v>13.946592</v>
      </c>
      <c r="I237" s="25" t="n">
        <v>12.203268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</row>
    <row r="238">
      <c r="A238" s="19" t="inlineStr">
        <is>
          <t>RVSW13C20-12FS</t>
        </is>
      </c>
      <c r="B238" s="20">
        <f>IFERROR(INDEX(Conversion!$C$2:$C$500,MATCH($A238,Conversion!$B$2:$B$500,0)),"NOT ASSIGNED")</f>
        <v/>
      </c>
      <c r="C238" s="21" t="inlineStr">
        <is>
          <t>St.st. hose tail 13mm x 1/2" BSP female screw cap with flat seal, 20mm collar and spring</t>
        </is>
      </c>
      <c r="D238" s="22" t="inlineStr">
        <is>
          <t>Hose tail w/ union nut, 13 mm x 1/2" F, flat seal, 20 mm collar, w/ anti-kink spring, stainless steel 316</t>
        </is>
      </c>
      <c r="E238" s="30" t="n">
        <v>0.1</v>
      </c>
      <c r="F238" s="24" t="inlineStr">
        <is>
          <t>ESTIMATE - catalogue gives dimensions only (p.68-71)</t>
        </is>
      </c>
      <c r="G238" s="25" t="n">
        <v>24.68158</v>
      </c>
      <c r="H238" s="25" t="n">
        <v>19.745264</v>
      </c>
      <c r="I238" s="25" t="n">
        <v>17.277106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</row>
    <row r="239">
      <c r="A239" s="19" t="inlineStr">
        <is>
          <t>RVSW13C20-34F</t>
        </is>
      </c>
      <c r="B239" s="20">
        <f>IFERROR(INDEX(Conversion!$C$2:$C$500,MATCH($A239,Conversion!$B$2:$B$500,0)),"NOT ASSIGNED")</f>
        <v/>
      </c>
      <c r="C239" s="21" t="inlineStr">
        <is>
          <t>St.st. hose tail 13mm x 3/4" BSP female screw cap with flat seal, 20mm collar</t>
        </is>
      </c>
      <c r="D239" s="22" t="inlineStr">
        <is>
          <t>Hose tail w/ union nut, 13 mm x 3/4" F, flat seal, 20 mm collar, stainless steel 316</t>
        </is>
      </c>
      <c r="E239" s="30" t="n">
        <v>0.07000000000000001</v>
      </c>
      <c r="F239" s="24" t="inlineStr">
        <is>
          <t>ESTIMATE - catalogue gives dimensions only (p.68-71)</t>
        </is>
      </c>
      <c r="G239" s="25" t="n">
        <v>17.43324</v>
      </c>
      <c r="H239" s="25" t="n">
        <v>13.946592</v>
      </c>
      <c r="I239" s="25" t="n">
        <v>12.203268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</row>
    <row r="240">
      <c r="A240" s="19" t="inlineStr">
        <is>
          <t>RVSW16C21-12C</t>
        </is>
      </c>
      <c r="B240" s="20">
        <f>IFERROR(INDEX(Conversion!$C$2:$C$500,MATCH($A240,Conversion!$B$2:$B$500,0)),"NOT ASSIGNED")</f>
        <v/>
      </c>
      <c r="C240" s="21" t="inlineStr">
        <is>
          <t>St.st. hose tail 16mm x 1/2" BSP female screw cap with conical seal, 21mm collar</t>
        </is>
      </c>
      <c r="D240" s="22" t="inlineStr">
        <is>
          <t>Hose tail w/ union nut, 16 mm x 1/2" F, conical seal, 21 mm collar, stainless steel 316</t>
        </is>
      </c>
      <c r="E240" s="30" t="n">
        <v>0.07000000000000001</v>
      </c>
      <c r="F240" s="24" t="inlineStr">
        <is>
          <t>ESTIMATE - catalogue gives dimensions only (p.68-71)</t>
        </is>
      </c>
      <c r="G240" s="25" t="n">
        <v>21.02122</v>
      </c>
      <c r="H240" s="25" t="n">
        <v>16.816976</v>
      </c>
      <c r="I240" s="25" t="n">
        <v>14.714854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</row>
    <row r="241">
      <c r="A241" s="19" t="inlineStr">
        <is>
          <t>RVSW16C21-12CS</t>
        </is>
      </c>
      <c r="B241" s="20">
        <f>IFERROR(INDEX(Conversion!$C$2:$C$500,MATCH($A241,Conversion!$B$2:$B$500,0)),"NOT ASSIGNED")</f>
        <v/>
      </c>
      <c r="C241" s="21" t="inlineStr">
        <is>
          <t>St.st. hose tail 16mm x 1/2" BSP female screw cap with conical seal, 21mm collar and spring</t>
        </is>
      </c>
      <c r="D241" s="22" t="inlineStr">
        <is>
          <t>Hose tail w/ union nut, 16 mm x 1/2" F, conical seal, 21 mm collar, w/ anti-kink spring, stainless steel 316</t>
        </is>
      </c>
      <c r="E241" s="30" t="n">
        <v>0.11</v>
      </c>
      <c r="F241" s="24" t="inlineStr">
        <is>
          <t>ESTIMATE - catalogue gives dimensions only (p.68-71)</t>
        </is>
      </c>
      <c r="G241" s="25" t="n">
        <v>25.61218</v>
      </c>
      <c r="H241" s="25" t="n">
        <v>20.489744</v>
      </c>
      <c r="I241" s="25" t="n">
        <v>17.928526</v>
      </c>
      <c r="J241" s="27">
        <f>IF(G241="","",G241/$C$5*(1+$C$8)+$E241*(1+$C$7)*$C$6)</f>
        <v/>
      </c>
      <c r="K241" s="27">
        <f>IF(H241="","",H241/$C$5*(1+$C$8)+$E241*(1+$C$7)*$C$6)</f>
        <v/>
      </c>
      <c r="L241" s="27">
        <f>IF(I241="","",I241/$C$5*(1+$C$8)+$E241*(1+$C$7)*$C$6)</f>
        <v/>
      </c>
      <c r="M241" s="28">
        <f>IF(J241="","",ROUND(J241*(1+$C$9),2))</f>
        <v/>
      </c>
      <c r="N241" s="28">
        <f>IF(K241="","",ROUND(K241*(1+$C$9),2))</f>
        <v/>
      </c>
      <c r="O241" s="28">
        <f>IF(L241="","",ROUND(L241*(1+$C$9),2))</f>
        <v/>
      </c>
      <c r="P241" s="29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</row>
    <row r="242">
      <c r="A242" s="19" t="inlineStr">
        <is>
          <t>RVSW16C21-12F</t>
        </is>
      </c>
      <c r="B242" s="20">
        <f>IFERROR(INDEX(Conversion!$C$2:$C$500,MATCH($A242,Conversion!$B$2:$B$500,0)),"NOT ASSIGNED")</f>
        <v/>
      </c>
      <c r="C242" s="21" t="inlineStr">
        <is>
          <t>St.st. hose tail 16mm x 1/2" BSP female screw cap with flat seal, 21mm collar</t>
        </is>
      </c>
      <c r="D242" s="22" t="inlineStr">
        <is>
          <t>Hose tail w/ union nut, 16 mm x 1/2" F, flat seal, 21 mm collar, stainless steel 316</t>
        </is>
      </c>
      <c r="E242" s="30" t="n">
        <v>0.07000000000000001</v>
      </c>
      <c r="F242" s="24" t="inlineStr">
        <is>
          <t>ESTIMATE - catalogue gives dimensions only (p.68-71)</t>
        </is>
      </c>
      <c r="G242" s="25" t="n">
        <v>25.39504</v>
      </c>
      <c r="H242" s="25" t="n">
        <v>20.316032</v>
      </c>
      <c r="I242" s="25" t="n">
        <v>17.776528</v>
      </c>
      <c r="J242" s="27">
        <f>IF(G242="","",G242/$C$5*(1+$C$8)+$E242*(1+$C$7)*$C$6)</f>
        <v/>
      </c>
      <c r="K242" s="27">
        <f>IF(H242="","",H242/$C$5*(1+$C$8)+$E242*(1+$C$7)*$C$6)</f>
        <v/>
      </c>
      <c r="L242" s="27">
        <f>IF(I242="","",I242/$C$5*(1+$C$8)+$E242*(1+$C$7)*$C$6)</f>
        <v/>
      </c>
      <c r="M242" s="28">
        <f>IF(J242="","",ROUND(J242*(1+$C$9),2))</f>
        <v/>
      </c>
      <c r="N242" s="28">
        <f>IF(K242="","",ROUND(K242*(1+$C$9),2))</f>
        <v/>
      </c>
      <c r="O242" s="28">
        <f>IF(L242="","",ROUND(L242*(1+$C$9),2))</f>
        <v/>
      </c>
      <c r="P242" s="29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</row>
    <row r="243">
      <c r="A243" s="19" t="inlineStr">
        <is>
          <t>RVSW16C21-34F</t>
        </is>
      </c>
      <c r="B243" s="20">
        <f>IFERROR(INDEX(Conversion!$C$2:$C$500,MATCH($A243,Conversion!$B$2:$B$500,0)),"NOT ASSIGNED")</f>
        <v/>
      </c>
      <c r="C243" s="21" t="inlineStr">
        <is>
          <t>St.st. hose tail 16mm x 3/4" BSP female screw cap with flat seal, 21mm collar</t>
        </is>
      </c>
      <c r="D243" s="22" t="inlineStr">
        <is>
          <t>Hose tail w/ union nut, 16 mm x 3/4" F, flat seal, 21 mm collar, stainless steel 316</t>
        </is>
      </c>
      <c r="E243" s="30" t="n">
        <v>0.08</v>
      </c>
      <c r="F243" s="24" t="inlineStr">
        <is>
          <t>ESTIMATE - catalogue gives dimensions only (p.68-71)</t>
        </is>
      </c>
      <c r="G243" s="25" t="n">
        <v>25.39504</v>
      </c>
      <c r="H243" s="25" t="n">
        <v>20.316032</v>
      </c>
      <c r="I243" s="25" t="n">
        <v>17.776528</v>
      </c>
      <c r="J243" s="27">
        <f>IF(G243="","",G243/$C$5*(1+$C$8)+$E243*(1+$C$7)*$C$6)</f>
        <v/>
      </c>
      <c r="K243" s="27">
        <f>IF(H243="","",H243/$C$5*(1+$C$8)+$E243*(1+$C$7)*$C$6)</f>
        <v/>
      </c>
      <c r="L243" s="27">
        <f>IF(I243="","",I243/$C$5*(1+$C$8)+$E243*(1+$C$7)*$C$6)</f>
        <v/>
      </c>
      <c r="M243" s="28">
        <f>IF(J243="","",ROUND(J243*(1+$C$9),2))</f>
        <v/>
      </c>
      <c r="N243" s="28">
        <f>IF(K243="","",ROUND(K243*(1+$C$9),2))</f>
        <v/>
      </c>
      <c r="O243" s="28">
        <f>IF(L243="","",ROUND(L243*(1+$C$9),2))</f>
        <v/>
      </c>
      <c r="P243" s="29">
        <f>TRIM(IF($B243="NOT ASSIGNED","No NW part no. ","")&amp;IFERROR(IF(INDEX(Conversion!$J$2:$J$500,MATCH($A243,Conversion!$B$2:$B$500,0))="Needs review","Conversion table: needs review. ",""),"")&amp;IF(LEFT($F243,8)="ESTIMATE","Weight estimated. ","")&amp;"")</f>
        <v/>
      </c>
    </row>
    <row r="244">
      <c r="A244" s="19" t="inlineStr">
        <is>
          <t>RVSW19C24-34C</t>
        </is>
      </c>
      <c r="B244" s="20">
        <f>IFERROR(INDEX(Conversion!$C$2:$C$500,MATCH($A244,Conversion!$B$2:$B$500,0)),"NOT ASSIGNED")</f>
        <v/>
      </c>
      <c r="C244" s="21" t="inlineStr">
        <is>
          <t>St.st. hose tail 19mm x 3/4" BSP female screw cap with conical seal, 24mm collar</t>
        </is>
      </c>
      <c r="D244" s="22" t="inlineStr">
        <is>
          <t>Hose tail w/ union nut, 19 mm x 3/4" F, conical seal, 24 mm collar, stainless steel 316</t>
        </is>
      </c>
      <c r="E244" s="30" t="n">
        <v>0.09</v>
      </c>
      <c r="F244" s="24" t="inlineStr">
        <is>
          <t>ESTIMATE - catalogue gives dimensions only (p.68-71)</t>
        </is>
      </c>
      <c r="G244" s="25" t="n">
        <v>25.61218</v>
      </c>
      <c r="H244" s="25" t="n">
        <v>20.489744</v>
      </c>
      <c r="I244" s="25" t="n">
        <v>17.928526</v>
      </c>
      <c r="J244" s="27">
        <f>IF(G244="","",G244/$C$5*(1+$C$8)+$E244*(1+$C$7)*$C$6)</f>
        <v/>
      </c>
      <c r="K244" s="27">
        <f>IF(H244="","",H244/$C$5*(1+$C$8)+$E244*(1+$C$7)*$C$6)</f>
        <v/>
      </c>
      <c r="L244" s="27">
        <f>IF(I244="","",I244/$C$5*(1+$C$8)+$E244*(1+$C$7)*$C$6)</f>
        <v/>
      </c>
      <c r="M244" s="28">
        <f>IF(J244="","",ROUND(J244*(1+$C$9),2))</f>
        <v/>
      </c>
      <c r="N244" s="28">
        <f>IF(K244="","",ROUND(K244*(1+$C$9),2))</f>
        <v/>
      </c>
      <c r="O244" s="28">
        <f>IF(L244="","",ROUND(L244*(1+$C$9),2))</f>
        <v/>
      </c>
      <c r="P244" s="29">
        <f>TRIM(IF($B244="NOT ASSIGNED","No NW part no. ","")&amp;IFERROR(IF(INDEX(Conversion!$J$2:$J$500,MATCH($A244,Conversion!$B$2:$B$500,0))="Needs review","Conversion table: needs review. ",""),"")&amp;IF(LEFT($F244,8)="ESTIMATE","Weight estimated. ","")&amp;"")</f>
        <v/>
      </c>
    </row>
    <row r="245">
      <c r="A245" s="19" t="inlineStr">
        <is>
          <t>RVSW19C24-34F</t>
        </is>
      </c>
      <c r="B245" s="20">
        <f>IFERROR(INDEX(Conversion!$C$2:$C$500,MATCH($A245,Conversion!$B$2:$B$500,0)),"NOT ASSIGNED")</f>
        <v/>
      </c>
      <c r="C245" s="21" t="inlineStr">
        <is>
          <t>St.st. hose tail 19mm x 3/4" BSP female screw cap with flat seal, 24mm collar</t>
        </is>
      </c>
      <c r="D245" s="22" t="inlineStr">
        <is>
          <t>Hose tail w/ union nut, 19 mm x 3/4" F, flat seal, 24 mm collar, stainless steel 316</t>
        </is>
      </c>
      <c r="E245" s="30" t="n">
        <v>0.09</v>
      </c>
      <c r="F245" s="24" t="inlineStr">
        <is>
          <t>ESTIMATE - catalogue gives dimensions only (p.68-71)</t>
        </is>
      </c>
      <c r="G245" s="25" t="n">
        <v>26.4704</v>
      </c>
      <c r="H245" s="25" t="n">
        <v>21.17632</v>
      </c>
      <c r="I245" s="25" t="n">
        <v>18.52928</v>
      </c>
      <c r="J245" s="27">
        <f>IF(G245="","",G245/$C$5*(1+$C$8)+$E245*(1+$C$7)*$C$6)</f>
        <v/>
      </c>
      <c r="K245" s="27">
        <f>IF(H245="","",H245/$C$5*(1+$C$8)+$E245*(1+$C$7)*$C$6)</f>
        <v/>
      </c>
      <c r="L245" s="27">
        <f>IF(I245="","",I245/$C$5*(1+$C$8)+$E245*(1+$C$7)*$C$6)</f>
        <v/>
      </c>
      <c r="M245" s="28">
        <f>IF(J245="","",ROUND(J245*(1+$C$9),2))</f>
        <v/>
      </c>
      <c r="N245" s="28">
        <f>IF(K245="","",ROUND(K245*(1+$C$9),2))</f>
        <v/>
      </c>
      <c r="O245" s="28">
        <f>IF(L245="","",ROUND(L245*(1+$C$9),2))</f>
        <v/>
      </c>
      <c r="P245" s="29">
        <f>TRIM(IF($B245="NOT ASSIGNED","No NW part no. ","")&amp;IFERROR(IF(INDEX(Conversion!$J$2:$J$500,MATCH($A245,Conversion!$B$2:$B$500,0))="Needs review","Conversion table: needs review. ",""),"")&amp;IF(LEFT($F245,8)="ESTIMATE","Weight estimated. ","")&amp;"")</f>
        <v/>
      </c>
    </row>
    <row r="246">
      <c r="A246" s="19" t="inlineStr">
        <is>
          <t>RVSW19C24-1C</t>
        </is>
      </c>
      <c r="B246" s="20">
        <f>IFERROR(INDEX(Conversion!$C$2:$C$500,MATCH($A246,Conversion!$B$2:$B$500,0)),"NOT ASSIGNED")</f>
        <v/>
      </c>
      <c r="C246" s="21" t="inlineStr">
        <is>
          <t>St.st. hose tail 19mm x 1" BSP female screw cap with conical seal, 24mm collar</t>
        </is>
      </c>
      <c r="D246" s="22" t="inlineStr">
        <is>
          <t>Hose tail w/ union nut, 19 mm x 1" F, conical seal, 24 mm collar, stainless steel 316</t>
        </is>
      </c>
      <c r="E246" s="30" t="n">
        <v>0.11</v>
      </c>
      <c r="F246" s="24" t="inlineStr">
        <is>
          <t>ESTIMATE - catalogue gives dimensions only (p.68-71)</t>
        </is>
      </c>
      <c r="G246" s="25" t="n">
        <v>30.99932</v>
      </c>
      <c r="H246" s="25" t="n">
        <v>24.799456</v>
      </c>
      <c r="I246" s="25" t="n">
        <v>21.699524</v>
      </c>
      <c r="J246" s="27">
        <f>IF(G246="","",G246/$C$5*(1+$C$8)+$E246*(1+$C$7)*$C$6)</f>
        <v/>
      </c>
      <c r="K246" s="27">
        <f>IF(H246="","",H246/$C$5*(1+$C$8)+$E246*(1+$C$7)*$C$6)</f>
        <v/>
      </c>
      <c r="L246" s="27">
        <f>IF(I246="","",I246/$C$5*(1+$C$8)+$E246*(1+$C$7)*$C$6)</f>
        <v/>
      </c>
      <c r="M246" s="28">
        <f>IF(J246="","",ROUND(J246*(1+$C$9),2))</f>
        <v/>
      </c>
      <c r="N246" s="28">
        <f>IF(K246="","",ROUND(K246*(1+$C$9),2))</f>
        <v/>
      </c>
      <c r="O246" s="28">
        <f>IF(L246="","",ROUND(L246*(1+$C$9),2))</f>
        <v/>
      </c>
      <c r="P246" s="29">
        <f>TRIM(IF($B246="NOT ASSIGNED","No NW part no. ","")&amp;IFERROR(IF(INDEX(Conversion!$J$2:$J$500,MATCH($A246,Conversion!$B$2:$B$500,0))="Needs review","Conversion table: needs review. ",""),"")&amp;IF(LEFT($F246,8)="ESTIMATE","Weight estimated. ","")&amp;"")</f>
        <v/>
      </c>
    </row>
    <row r="247">
      <c r="A247" s="19" t="inlineStr">
        <is>
          <t>RVSW19C24-1F</t>
        </is>
      </c>
      <c r="B247" s="20">
        <f>IFERROR(INDEX(Conversion!$C$2:$C$500,MATCH($A247,Conversion!$B$2:$B$500,0)),"NOT ASSIGNED")</f>
        <v/>
      </c>
      <c r="C247" s="21" t="inlineStr">
        <is>
          <t>St.st. hose tail 19mm x 1" BSP female screw cap with flat seal, 24mm collar</t>
        </is>
      </c>
      <c r="D247" s="22" t="inlineStr">
        <is>
          <t>Hose tail w/ union nut, 19 mm x 1" F, flat seal, 24 mm collar, stainless steel 316</t>
        </is>
      </c>
      <c r="E247" s="30" t="n">
        <v>0.11</v>
      </c>
      <c r="F247" s="24" t="inlineStr">
        <is>
          <t>ESTIMATE - catalogue gives dimensions only (p.68-71)</t>
        </is>
      </c>
      <c r="G247" s="25" t="n">
        <v>32.1057</v>
      </c>
      <c r="H247" s="25" t="n">
        <v>25.68456</v>
      </c>
      <c r="I247" s="25" t="n">
        <v>22.47399</v>
      </c>
      <c r="J247" s="27">
        <f>IF(G247="","",G247/$C$5*(1+$C$8)+$E247*(1+$C$7)*$C$6)</f>
        <v/>
      </c>
      <c r="K247" s="27">
        <f>IF(H247="","",H247/$C$5*(1+$C$8)+$E247*(1+$C$7)*$C$6)</f>
        <v/>
      </c>
      <c r="L247" s="27">
        <f>IF(I247="","",I247/$C$5*(1+$C$8)+$E247*(1+$C$7)*$C$6)</f>
        <v/>
      </c>
      <c r="M247" s="28">
        <f>IF(J247="","",ROUND(J247*(1+$C$9),2))</f>
        <v/>
      </c>
      <c r="N247" s="28">
        <f>IF(K247="","",ROUND(K247*(1+$C$9),2))</f>
        <v/>
      </c>
      <c r="O247" s="28">
        <f>IF(L247="","",ROUND(L247*(1+$C$9),2))</f>
        <v/>
      </c>
      <c r="P247" s="29">
        <f>TRIM(IF($B247="NOT ASSIGNED","No NW part no. ","")&amp;IFERROR(IF(INDEX(Conversion!$J$2:$J$500,MATCH($A247,Conversion!$B$2:$B$500,0))="Needs review","Conversion table: needs review. ",""),"")&amp;IF(LEFT($F247,8)="ESTIMATE","Weight estimated. ","")&amp;"")</f>
        <v/>
      </c>
    </row>
    <row r="248">
      <c r="A248" s="19" t="inlineStr">
        <is>
          <t>RVSW25C36-1C</t>
        </is>
      </c>
      <c r="B248" s="20">
        <f>IFERROR(INDEX(Conversion!$C$2:$C$500,MATCH($A248,Conversion!$B$2:$B$500,0)),"NOT ASSIGNED")</f>
        <v/>
      </c>
      <c r="C248" s="21" t="inlineStr">
        <is>
          <t>St.st. hose tail 25mm x 1" BSP female screw cap with conical seal, 36mm collar</t>
        </is>
      </c>
      <c r="D248" s="22" t="inlineStr">
        <is>
          <t>Hose tail w/ union nut, 25 mm x 1" F, conical seal, 36 mm collar, stainless steel 316</t>
        </is>
      </c>
      <c r="E248" s="30" t="n">
        <v>0.13</v>
      </c>
      <c r="F248" s="24" t="inlineStr">
        <is>
          <t>ESTIMATE - catalogue gives dimensions only (p.68-71)</t>
        </is>
      </c>
      <c r="G248" s="25" t="n">
        <v>35.70402</v>
      </c>
      <c r="H248" s="25" t="n">
        <v>28.563216</v>
      </c>
      <c r="I248" s="25" t="n">
        <v>24.992814</v>
      </c>
      <c r="J248" s="27">
        <f>IF(G248="","",G248/$C$5*(1+$C$8)+$E248*(1+$C$7)*$C$6)</f>
        <v/>
      </c>
      <c r="K248" s="27">
        <f>IF(H248="","",H248/$C$5*(1+$C$8)+$E248*(1+$C$7)*$C$6)</f>
        <v/>
      </c>
      <c r="L248" s="27">
        <f>IF(I248="","",I248/$C$5*(1+$C$8)+$E248*(1+$C$7)*$C$6)</f>
        <v/>
      </c>
      <c r="M248" s="28">
        <f>IF(J248="","",ROUND(J248*(1+$C$9),2))</f>
        <v/>
      </c>
      <c r="N248" s="28">
        <f>IF(K248="","",ROUND(K248*(1+$C$9),2))</f>
        <v/>
      </c>
      <c r="O248" s="28">
        <f>IF(L248="","",ROUND(L248*(1+$C$9),2))</f>
        <v/>
      </c>
      <c r="P248" s="29">
        <f>TRIM(IF($B248="NOT ASSIGNED","No NW part no. ","")&amp;IFERROR(IF(INDEX(Conversion!$J$2:$J$500,MATCH($A248,Conversion!$B$2:$B$500,0))="Needs review","Conversion table: needs review. ",""),"")&amp;IF(LEFT($F248,8)="ESTIMATE","Weight estimated. ","")&amp;"")</f>
        <v/>
      </c>
    </row>
  </sheetData>
  <mergeCells count="3">
    <mergeCell ref="G13:I13"/>
    <mergeCell ref="M13:O13"/>
    <mergeCell ref="J13:L13"/>
  </mergeCells>
  <conditionalFormatting sqref="B14:B248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3" t="inlineStr">
        <is>
          <t>Category</t>
        </is>
      </c>
      <c r="B1" s="33" t="inlineStr">
        <is>
          <t>AKBO Part Number</t>
        </is>
      </c>
      <c r="C1" s="33" t="inlineStr">
        <is>
          <t>Our Code</t>
        </is>
      </c>
      <c r="D1" s="33" t="inlineStr">
        <is>
          <t>Product Type</t>
        </is>
      </c>
      <c r="E1" s="33" t="inlineStr">
        <is>
          <t>Size / Dimensions / Connection</t>
        </is>
      </c>
      <c r="F1" s="33" t="inlineStr">
        <is>
          <t>Material</t>
        </is>
      </c>
      <c r="G1" s="33" t="inlineStr">
        <is>
          <t>Variant</t>
        </is>
      </c>
      <c r="H1" s="33" t="inlineStr">
        <is>
          <t>Description</t>
        </is>
      </c>
      <c r="I1" s="33" t="inlineStr">
        <is>
          <t>Source Page</t>
        </is>
      </c>
      <c r="J1" s="33" t="inlineStr">
        <is>
          <t>Status</t>
        </is>
      </c>
      <c r="K1" s="33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4" t="inlineStr">
        <is>
          <t>Washdown / cleaning equipment</t>
        </is>
      </c>
      <c r="B23" s="34" t="inlineStr">
        <is>
          <t>AKMNP01-B-SW12</t>
        </is>
      </c>
      <c r="C23" s="34" t="inlineStr">
        <is>
          <t>WD-MNP01-B-SW12</t>
        </is>
      </c>
      <c r="D23" s="34" t="inlineStr">
        <is>
          <t>Brass cleaning gun (insulated trigger)</t>
        </is>
      </c>
      <c r="E23" s="34" t="inlineStr">
        <is>
          <t>with ball bearing swivel, 1/2" BSP female</t>
        </is>
      </c>
      <c r="F23" s="34" t="inlineStr">
        <is>
          <t>Brass HPb59-3</t>
        </is>
      </c>
      <c r="G23" s="34" t="inlineStr">
        <is>
          <t>with trigger guard and swivel</t>
        </is>
      </c>
      <c r="H23" s="34" t="inlineStr">
        <is>
          <t>Brass cleaning gun (insulated trigger), with ball bearing swivel, 1/2" BSP female, Brass HPb59-3, with trigger guard and swivel</t>
        </is>
      </c>
      <c r="I23" s="34" t="inlineStr">
        <is>
          <t>10 - Brass cleaning guns with insulated trigger.pdf</t>
        </is>
      </c>
      <c r="J23" s="34" t="inlineStr">
        <is>
          <t>Needs review</t>
        </is>
      </c>
      <c r="K23" s="34" t="inlineStr">
        <is>
          <t>Page 2 technical-data table header spells this "AKMP01-B-SW12" (missing N) - likely a table typo, confirm before use</t>
        </is>
      </c>
    </row>
    <row r="24">
      <c r="A24" s="34" t="inlineStr">
        <is>
          <t>Washdown / cleaning equipment</t>
        </is>
      </c>
      <c r="B24" s="34" t="inlineStr">
        <is>
          <t>AKMNP01-B-SW34</t>
        </is>
      </c>
      <c r="C24" s="34" t="inlineStr">
        <is>
          <t>WD-MNP01-B-SW34</t>
        </is>
      </c>
      <c r="D24" s="34" t="inlineStr">
        <is>
          <t>Brass cleaning gun (insulated trigger)</t>
        </is>
      </c>
      <c r="E24" s="34" t="inlineStr">
        <is>
          <t>with ball bearing swivel, 3/4" BSP female</t>
        </is>
      </c>
      <c r="F24" s="34" t="inlineStr">
        <is>
          <t>Brass HPb59-3</t>
        </is>
      </c>
      <c r="G24" s="34" t="inlineStr">
        <is>
          <t>with trigger guard and swivel</t>
        </is>
      </c>
      <c r="H24" s="34" t="inlineStr">
        <is>
          <t>Brass cleaning gun (insulated trigger), with ball bearing swivel, 3/4" BSP female, Brass HPb59-3, with trigger guard and swivel</t>
        </is>
      </c>
      <c r="I24" s="34" t="inlineStr">
        <is>
          <t>10 - Brass cleaning guns with insulated trigger.pdf</t>
        </is>
      </c>
      <c r="J24" s="34" t="inlineStr">
        <is>
          <t>Needs review</t>
        </is>
      </c>
      <c r="K24" s="34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4" t="inlineStr">
        <is>
          <t>Washdown / cleaning equipment</t>
        </is>
      </c>
      <c r="B30" s="34" t="inlineStr">
        <is>
          <t>AKCNP01-W-SW12</t>
        </is>
      </c>
      <c r="C30" s="34" t="inlineStr">
        <is>
          <t>WD-CNP01-W-SW12</t>
        </is>
      </c>
      <c r="D30" s="34" t="inlineStr">
        <is>
          <t>Chrome-plated brass cleaning gun</t>
        </is>
      </c>
      <c r="E30" s="34" t="inlineStr">
        <is>
          <t>with swivel, brochure states 3/4" BSP female</t>
        </is>
      </c>
      <c r="F30" s="34" t="inlineStr">
        <is>
          <t>Brass HPb59-3 + chrome layer</t>
        </is>
      </c>
      <c r="G30" s="34" t="inlineStr">
        <is>
          <t>white, with swivel</t>
        </is>
      </c>
      <c r="H30" s="34" t="inlineStr">
        <is>
          <t>Chrome-plated brass cleaning gun, with swivel, brochure states 3/4" BSP female, Brass HPb59-3 + chrome layer, white, with swivel</t>
        </is>
      </c>
      <c r="I30" s="34" t="inlineStr">
        <is>
          <t>11 - Chrome-plated brass cleaning guns.pdf</t>
        </is>
      </c>
      <c r="J30" s="34" t="inlineStr">
        <is>
          <t>Needs review</t>
        </is>
      </c>
      <c r="K30" s="34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4" t="inlineStr">
        <is>
          <t>Washdown / cleaning equipment</t>
        </is>
      </c>
      <c r="B33" s="34" t="inlineStr">
        <is>
          <t>AKRB001-BL</t>
        </is>
      </c>
      <c r="C33" s="34" t="inlineStr">
        <is>
          <t>WD-RB001-BL</t>
        </is>
      </c>
      <c r="D33" s="34" t="inlineStr">
        <is>
          <t>Stainless steel cleaning gun (AISI 316), high flow</t>
        </is>
      </c>
      <c r="E33" s="34" t="inlineStr">
        <is>
          <t>1/2" BSP female</t>
        </is>
      </c>
      <c r="F33" s="34" t="inlineStr">
        <is>
          <t>Stainless steel AISI 316</t>
        </is>
      </c>
      <c r="G33" s="34" t="inlineStr">
        <is>
          <t>black, high flow</t>
        </is>
      </c>
      <c r="H33" s="34" t="inlineStr">
        <is>
          <t>Stainless steel cleaning gun (AISI 316), high flow, 1/2" BSP female, Stainless steel AISI 316, black, high flow</t>
        </is>
      </c>
      <c r="I33" s="34" t="inlineStr">
        <is>
          <t>12 - Stainless steel cleaning guns (AISI 316).pdf</t>
        </is>
      </c>
      <c r="J33" s="34" t="inlineStr">
        <is>
          <t>Needs review</t>
        </is>
      </c>
      <c r="K33" s="34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4" t="inlineStr">
        <is>
          <t>Washdown / cleaning equipment</t>
        </is>
      </c>
      <c r="B45" s="34" t="inlineStr">
        <is>
          <t>AKNNA02-B</t>
        </is>
      </c>
      <c r="C45" s="34" t="inlineStr">
        <is>
          <t>WD-NNA02-B</t>
        </is>
      </c>
      <c r="D45" s="34" t="inlineStr">
        <is>
          <t>Lightweight cleaning gun</t>
        </is>
      </c>
      <c r="E45" s="34" t="inlineStr">
        <is>
          <t>chrome-plated brass adapter at outlet</t>
        </is>
      </c>
      <c r="F45" s="34" t="inlineStr">
        <is>
          <t>Plastic PA66</t>
        </is>
      </c>
      <c r="G45" s="34" t="n"/>
      <c r="H45" s="34" t="inlineStr">
        <is>
          <t>Lightweight cleaning gun, chrome-plated brass adapter at outlet, Plastic PA66</t>
        </is>
      </c>
      <c r="I45" s="34" t="inlineStr">
        <is>
          <t>13 - Lightweight cleaning gun.pdf</t>
        </is>
      </c>
      <c r="J45" s="34" t="inlineStr">
        <is>
          <t>Needs review</t>
        </is>
      </c>
      <c r="K45" s="34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4" t="inlineStr">
        <is>
          <t>Washdown / cleaning equipment</t>
        </is>
      </c>
      <c r="B51" s="34" t="inlineStr">
        <is>
          <t>AKMBP01-B-SWM14-3/4</t>
        </is>
      </c>
      <c r="C51" s="34" t="inlineStr">
        <is>
          <t>WD-MBP01-B-SWM14-3/4</t>
        </is>
      </c>
      <c r="D51" s="34" t="inlineStr">
        <is>
          <t>High-flow cleaning gun</t>
        </is>
      </c>
      <c r="E51" s="34" t="inlineStr">
        <is>
          <t>with swivel, 3/4" BSP female</t>
        </is>
      </c>
      <c r="F51" s="34" t="inlineStr">
        <is>
          <t>Brass</t>
        </is>
      </c>
      <c r="G51" s="34" t="inlineStr">
        <is>
          <t>with trigger guard and swivel</t>
        </is>
      </c>
      <c r="H51" s="34" t="inlineStr">
        <is>
          <t>High-flow cleaning gun, with swivel, 3/4" BSP female, Brass, with trigger guard and swivel</t>
        </is>
      </c>
      <c r="I51" s="34" t="inlineStr">
        <is>
          <t>16 - High-flow cleaning guns.pdf</t>
        </is>
      </c>
      <c r="J51" s="34" t="inlineStr">
        <is>
          <t>Needs review</t>
        </is>
      </c>
      <c r="K51" s="34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4" t="inlineStr">
        <is>
          <t>Washdown / cleaning equipment</t>
        </is>
      </c>
      <c r="B52" s="34" t="inlineStr">
        <is>
          <t>AKRHP01-R</t>
        </is>
      </c>
      <c r="C52" s="34" t="inlineStr">
        <is>
          <t>WD-RHP01-R</t>
        </is>
      </c>
      <c r="D52" s="34" t="inlineStr">
        <is>
          <t>Hot-water cleaning gun (AISI 316)</t>
        </is>
      </c>
      <c r="E52" s="34" t="inlineStr">
        <is>
          <t>1/2" BSP female</t>
        </is>
      </c>
      <c r="F52" s="34" t="inlineStr">
        <is>
          <t>Stainless steel AISI 316</t>
        </is>
      </c>
      <c r="G52" s="34" t="inlineStr">
        <is>
          <t>red, base model</t>
        </is>
      </c>
      <c r="H52" s="34" t="inlineStr">
        <is>
          <t>Hot-water cleaning gun (AISI 316), 1/2" BSP female, Stainless steel AISI 316, red, base model</t>
        </is>
      </c>
      <c r="I52" s="34" t="inlineStr">
        <is>
          <t>17 - Cleaning guns for hot water in stainless steel (AISI 316).pdf</t>
        </is>
      </c>
      <c r="J52" s="34" t="inlineStr">
        <is>
          <t>Needs review</t>
        </is>
      </c>
      <c r="K52" s="34" t="inlineStr">
        <is>
          <t>Body text calls the base model "AKRHP01-R" but the technical-data table heads its column "AKRHP02-R" - confirm which is correct with AKBO</t>
        </is>
      </c>
    </row>
    <row r="53">
      <c r="A53" s="34" t="inlineStr">
        <is>
          <t>Washdown / cleaning equipment</t>
        </is>
      </c>
      <c r="B53" s="34" t="inlineStr">
        <is>
          <t>AKRHP02-R-L40</t>
        </is>
      </c>
      <c r="C53" s="34" t="inlineStr">
        <is>
          <t>WD-RHP02-R-L40</t>
        </is>
      </c>
      <c r="D53" s="34" t="inlineStr">
        <is>
          <t>Hot-water cleaning gun (AISI 316), lance version</t>
        </is>
      </c>
      <c r="E53" s="34" t="inlineStr">
        <is>
          <t>1/2" BSP female, 40cm lance</t>
        </is>
      </c>
      <c r="F53" s="34" t="inlineStr">
        <is>
          <t>Stainless steel AISI 316</t>
        </is>
      </c>
      <c r="G53" s="34" t="inlineStr">
        <is>
          <t>red, with lance</t>
        </is>
      </c>
      <c r="H53" s="34" t="inlineStr">
        <is>
          <t>Hot-water cleaning gun (AISI 316), lance version, 1/2" BSP female, 40cm lance, Stainless steel AISI 316, red, with lance</t>
        </is>
      </c>
      <c r="I53" s="34" t="inlineStr">
        <is>
          <t>17 - Cleaning guns for hot water in stainless steel (AISI 316).pdf</t>
        </is>
      </c>
      <c r="J53" s="34" t="inlineStr">
        <is>
          <t>Needs review</t>
        </is>
      </c>
      <c r="K53" s="34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4" t="inlineStr">
        <is>
          <t>Washdown / cleaning equipment</t>
        </is>
      </c>
      <c r="B61" s="34" t="inlineStr">
        <is>
          <t>AK53800A1</t>
        </is>
      </c>
      <c r="C61" s="34" t="inlineStr">
        <is>
          <t>WD-53800A1</t>
        </is>
      </c>
      <c r="D61" s="34" t="inlineStr">
        <is>
          <t>NiTO I cleaning gun</t>
        </is>
      </c>
      <c r="E61" s="34" t="inlineStr">
        <is>
          <t>1/2" NiTO quick-connect inlet</t>
        </is>
      </c>
      <c r="F61" s="34" t="inlineStr">
        <is>
          <t>Not stated in catalogue</t>
        </is>
      </c>
      <c r="G61" s="34" t="n"/>
      <c r="H61" s="34" t="inlineStr">
        <is>
          <t>NiTO I cleaning gun, 1/2" NiTO quick-connect inlet, Not stated in catalogue</t>
        </is>
      </c>
      <c r="I61" s="34" t="inlineStr">
        <is>
          <t>25 - NiTO I cleaning gun.pdf</t>
        </is>
      </c>
      <c r="J61" s="34" t="inlineStr">
        <is>
          <t>Needs review</t>
        </is>
      </c>
      <c r="K61" s="34" t="inlineStr">
        <is>
          <t>Material not stated in catalogue - confirm before quoting on material-sensitive jobs</t>
        </is>
      </c>
    </row>
    <row r="62">
      <c r="A62" s="34" t="inlineStr">
        <is>
          <t>Washdown / cleaning equipment</t>
        </is>
      </c>
      <c r="B62" s="34" t="inlineStr">
        <is>
          <t>AK30550A3</t>
        </is>
      </c>
      <c r="C62" s="34" t="inlineStr">
        <is>
          <t>WD-30550A3</t>
        </is>
      </c>
      <c r="D62" s="34" t="inlineStr">
        <is>
          <t>NiTO II cleaning gun</t>
        </is>
      </c>
      <c r="E62" s="34" t="inlineStr">
        <is>
          <t>NiTO quick-connect inlet</t>
        </is>
      </c>
      <c r="F62" s="34" t="inlineStr">
        <is>
          <t>Not stated in catalogue</t>
        </is>
      </c>
      <c r="G62" s="34" t="n"/>
      <c r="H62" s="34" t="inlineStr">
        <is>
          <t>NiTO II cleaning gun, NiTO quick-connect inlet, Not stated in catalogue</t>
        </is>
      </c>
      <c r="I62" s="34" t="inlineStr">
        <is>
          <t>26 - NiTO II cleaning gun.pdf</t>
        </is>
      </c>
      <c r="J62" s="34" t="inlineStr">
        <is>
          <t>Needs review</t>
        </is>
      </c>
      <c r="K62" s="34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4" t="inlineStr">
        <is>
          <t>Washdown / cleaning equipment</t>
        </is>
      </c>
      <c r="B63" s="34" t="inlineStr">
        <is>
          <t>AK40255A3</t>
        </is>
      </c>
      <c r="C63" s="34" t="inlineStr">
        <is>
          <t>WD-40255A3</t>
        </is>
      </c>
      <c r="D63" s="34" t="inlineStr">
        <is>
          <t>NiTO ERGO hot-water gun</t>
        </is>
      </c>
      <c r="E63" s="34" t="inlineStr">
        <is>
          <t>NiTO quick-connect inlet</t>
        </is>
      </c>
      <c r="F63" s="34" t="inlineStr">
        <is>
          <t>Not stated in catalogue</t>
        </is>
      </c>
      <c r="G63" s="34" t="n"/>
      <c r="H63" s="34" t="inlineStr">
        <is>
          <t>NiTO ERGO hot-water gun, NiTO quick-connect inlet, Not stated in catalogue</t>
        </is>
      </c>
      <c r="I63" s="34" t="inlineStr">
        <is>
          <t>27 - NiTO ERGO hot-water gun.pdf</t>
        </is>
      </c>
      <c r="J63" s="34" t="inlineStr">
        <is>
          <t>Needs review</t>
        </is>
      </c>
      <c r="K63" s="34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4" t="inlineStr">
        <is>
          <t>Washdown / cleaning equipment</t>
        </is>
      </c>
      <c r="B71" s="34" t="inlineStr">
        <is>
          <t>BABTLF1-BL</t>
        </is>
      </c>
      <c r="C71" s="34" t="inlineStr">
        <is>
          <t>WD-BABTLF1-BL</t>
        </is>
      </c>
      <c r="D71" s="34" t="inlineStr">
        <is>
          <t>Baby series gun for lance mounting</t>
        </is>
      </c>
      <c r="E71" s="34" t="inlineStr">
        <is>
          <t>1/2" BSP female outlet and inlet</t>
        </is>
      </c>
      <c r="F71" s="34" t="inlineStr">
        <is>
          <t>Aluminium</t>
        </is>
      </c>
      <c r="G71" s="34" t="inlineStr">
        <is>
          <t>black</t>
        </is>
      </c>
      <c r="H71" s="34" t="inlineStr">
        <is>
          <t>Baby series gun for lance mounting, 1/2" BSP female outlet and inlet, Aluminium, black</t>
        </is>
      </c>
      <c r="I71" s="34" t="inlineStr">
        <is>
          <t>31 - Cleaning guns for lance mounting, Baby series.pdf</t>
        </is>
      </c>
      <c r="J71" s="34" t="inlineStr">
        <is>
          <t>Needs review</t>
        </is>
      </c>
      <c r="K71" s="34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4" t="inlineStr">
        <is>
          <t>Washdown / cleaning equipment</t>
        </is>
      </c>
      <c r="B75" s="34" t="inlineStr">
        <is>
          <t>AKMSHHL1-BL</t>
        </is>
      </c>
      <c r="C75" s="34" t="inlineStr">
        <is>
          <t>WD-MSHHL1-BL</t>
        </is>
      </c>
      <c r="D75" s="34" t="inlineStr">
        <is>
          <t>Water-saving spray head</t>
        </is>
      </c>
      <c r="E75" s="34" t="inlineStr">
        <is>
          <t>head only, 1/2" BSPP male</t>
        </is>
      </c>
      <c r="F75" s="34" t="inlineStr">
        <is>
          <t>Brass HPb59-3 and POM</t>
        </is>
      </c>
      <c r="G75" s="34" t="inlineStr">
        <is>
          <t>black, head only</t>
        </is>
      </c>
      <c r="H75" s="34" t="inlineStr">
        <is>
          <t>Water-saving spray head, head only, 1/2" BSPP male, Brass HPb59-3 and POM, black, head only</t>
        </is>
      </c>
      <c r="I75" s="34" t="inlineStr">
        <is>
          <t>44 - Water-saving spray head.pdf</t>
        </is>
      </c>
      <c r="J75" s="34" t="inlineStr">
        <is>
          <t>Needs review</t>
        </is>
      </c>
      <c r="K75" s="34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4" t="inlineStr">
        <is>
          <t>Washdown / cleaning equipment</t>
        </is>
      </c>
      <c r="B76" s="34" t="inlineStr">
        <is>
          <t>AKRSHHL1-BL</t>
        </is>
      </c>
      <c r="C76" s="34" t="inlineStr">
        <is>
          <t>WD-RSHHL1-BL</t>
        </is>
      </c>
      <c r="D76" s="34" t="inlineStr">
        <is>
          <t>Water-saving spray head</t>
        </is>
      </c>
      <c r="E76" s="34" t="inlineStr">
        <is>
          <t>head only, 1/2" BSPP male</t>
        </is>
      </c>
      <c r="F76" s="34" t="inlineStr">
        <is>
          <t>Stainless steel AISI 304 and POM</t>
        </is>
      </c>
      <c r="G76" s="34" t="inlineStr">
        <is>
          <t>black, head only</t>
        </is>
      </c>
      <c r="H76" s="34" t="inlineStr">
        <is>
          <t>Water-saving spray head, head only, 1/2" BSPP male, Stainless steel AISI 304 and POM, black, head only</t>
        </is>
      </c>
      <c r="I76" s="34" t="inlineStr">
        <is>
          <t>44 - Water-saving spray head.pdf</t>
        </is>
      </c>
      <c r="J76" s="34" t="inlineStr">
        <is>
          <t>Needs review</t>
        </is>
      </c>
      <c r="K76" s="34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4" t="inlineStr">
        <is>
          <t>Washdown / cleaning equipment</t>
        </is>
      </c>
      <c r="B83" s="34" t="inlineStr">
        <is>
          <t>AKRSHW3-W</t>
        </is>
      </c>
      <c r="C83" s="34" t="inlineStr">
        <is>
          <t>WD-RSHW3-W</t>
        </is>
      </c>
      <c r="D83" s="34" t="inlineStr">
        <is>
          <t>Robust spray head</t>
        </is>
      </c>
      <c r="E83" s="34" t="inlineStr">
        <is>
          <t>with handle, 1/2" BSP female</t>
        </is>
      </c>
      <c r="F83" s="34" t="inlineStr">
        <is>
          <t>Stainless steel AISI 304 interior, POM housing</t>
        </is>
      </c>
      <c r="G83" s="34" t="inlineStr">
        <is>
          <t>white</t>
        </is>
      </c>
      <c r="H83" s="34" t="inlineStr">
        <is>
          <t>Robust spray head, with handle, 1/2" BSP female, Stainless steel AISI 304 interior, POM housing, white</t>
        </is>
      </c>
      <c r="I83" s="34" t="inlineStr">
        <is>
          <t>45 - Robust spray head.pdf</t>
        </is>
      </c>
      <c r="J83" s="34" t="inlineStr">
        <is>
          <t>Needs review</t>
        </is>
      </c>
      <c r="K83" s="34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5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5" t="n">
        <v>0.84</v>
      </c>
      <c r="C101" s="4" t="inlineStr">
        <is>
          <t>ESTIMATE - not tabulated; taken as AKMB001-BL</t>
        </is>
      </c>
    </row>
    <row r="102">
      <c r="A102" s="4" t="inlineStr">
        <is>
          <t>KLML002-B</t>
        </is>
      </c>
      <c r="B102" s="35" t="n">
        <v>0.84</v>
      </c>
      <c r="C102" s="4" t="inlineStr">
        <is>
          <t>ESTIMATE - not in catalogue; taken as KLMN001 (p.9)</t>
        </is>
      </c>
    </row>
    <row r="103">
      <c r="A103" s="4" t="inlineStr">
        <is>
          <t>AKCL002-B</t>
        </is>
      </c>
      <c r="B103" s="35" t="n">
        <v>0.867</v>
      </c>
      <c r="C103" s="4" t="inlineStr">
        <is>
          <t>ESTIMATE - not in catalogue; taken as AKCN001-B (p.13)</t>
        </is>
      </c>
    </row>
    <row r="104">
      <c r="A104" s="4" t="inlineStr">
        <is>
          <t>AKRL002-B</t>
        </is>
      </c>
      <c r="B104" s="35" t="n">
        <v>0.8129999999999999</v>
      </c>
      <c r="C104" s="4" t="inlineStr">
        <is>
          <t>ESTIMATE - not in catalogue; taken as AKRN001 (p.15)</t>
        </is>
      </c>
    </row>
    <row r="105">
      <c r="A105" s="4" t="inlineStr">
        <is>
          <t>AKNL002-B</t>
        </is>
      </c>
      <c r="B105" s="35" t="n">
        <v>0.48</v>
      </c>
      <c r="C105" s="4" t="inlineStr">
        <is>
          <t>ESTIMATE - not in catalogue; taken as AKNN001-B (p.17)</t>
        </is>
      </c>
    </row>
    <row r="106">
      <c r="A106" s="4" t="inlineStr">
        <is>
          <t>BABTA01-B</t>
        </is>
      </c>
      <c r="B106" s="35" t="n">
        <v>0.365</v>
      </c>
      <c r="C106" s="4" t="inlineStr">
        <is>
          <t>ESTIMATE - not in catalogue; taken as BABTLF1-BL</t>
        </is>
      </c>
    </row>
    <row r="107">
      <c r="A107" s="4" t="inlineStr">
        <is>
          <t>BABTNAA-B</t>
        </is>
      </c>
      <c r="B107" s="35" t="n">
        <v>0.37</v>
      </c>
      <c r="C107" s="4" t="inlineStr">
        <is>
          <t>ESTIMATE - not in catalogue; BABTN01-B + adapters</t>
        </is>
      </c>
    </row>
    <row r="108">
      <c r="A108" s="4" t="inlineStr">
        <is>
          <t>BMBTL01-B</t>
        </is>
      </c>
      <c r="B108" s="35" t="n">
        <v>0.65</v>
      </c>
      <c r="C108" s="4" t="inlineStr">
        <is>
          <t>ESTIMATE - not in catalogue; taken as BMBNN01-B</t>
        </is>
      </c>
    </row>
    <row r="109">
      <c r="A109" s="4" t="inlineStr">
        <is>
          <t>BMBTA01-B</t>
        </is>
      </c>
      <c r="B109" s="35" t="n">
        <v>0.65</v>
      </c>
      <c r="C109" s="4" t="inlineStr">
        <is>
          <t>ESTIMATE - not in catalogue; taken as BMBNN01-B</t>
        </is>
      </c>
    </row>
    <row r="110">
      <c r="A110" s="4" t="inlineStr">
        <is>
          <t>BMBTA02-B-V</t>
        </is>
      </c>
      <c r="B110" s="35" t="n">
        <v>0.65</v>
      </c>
      <c r="C110" s="4" t="inlineStr">
        <is>
          <t>ESTIMATE - not in catalogue; taken as BMBNN01-B</t>
        </is>
      </c>
    </row>
    <row r="111">
      <c r="A111" s="4" t="inlineStr">
        <is>
          <t>AKMSHHL1-BL</t>
        </is>
      </c>
      <c r="B111" s="35" t="n">
        <v>0.21</v>
      </c>
      <c r="C111" s="4" t="inlineStr">
        <is>
          <t>ESTIMATE - AKMSHL1-B 510 g less GRIPML1-B 300 g (p.53/55)</t>
        </is>
      </c>
    </row>
    <row r="112">
      <c r="A112" s="4" t="inlineStr">
        <is>
          <t>AKRSHHL1-BL</t>
        </is>
      </c>
      <c r="B112" s="35" t="n">
        <v>0.21</v>
      </c>
      <c r="C112" s="4" t="inlineStr">
        <is>
          <t>ESTIMATE - AKRSHL1-B 550 g less GRIPRL1-B 340 g (p.53/55)</t>
        </is>
      </c>
    </row>
    <row r="113">
      <c r="A113" s="4" t="inlineStr">
        <is>
          <t>AKWMS01</t>
        </is>
      </c>
      <c r="B113" s="35" t="n">
        <v>0.3</v>
      </c>
      <c r="C113" s="4" t="inlineStr">
        <is>
          <t>ESTIMATE - weight not in catalogue (p.45)</t>
        </is>
      </c>
    </row>
    <row r="114">
      <c r="A114" s="4" t="inlineStr">
        <is>
          <t>AKWMM01</t>
        </is>
      </c>
      <c r="B114" s="35" t="n">
        <v>0.3</v>
      </c>
      <c r="C114" s="4" t="inlineStr">
        <is>
          <t>ESTIMATE - weight not in catalogue (p.45)</t>
        </is>
      </c>
    </row>
    <row r="115">
      <c r="A115" s="4" t="inlineStr">
        <is>
          <t>AKWML01</t>
        </is>
      </c>
      <c r="B115" s="35" t="n">
        <v>0.3</v>
      </c>
      <c r="C115" s="4" t="inlineStr">
        <is>
          <t>ESTIMATE - weight not in catalogue (p.45)</t>
        </is>
      </c>
    </row>
    <row r="116">
      <c r="A116" s="4" t="inlineStr">
        <is>
          <t>AKWMR01</t>
        </is>
      </c>
      <c r="B116" s="35" t="n">
        <v>0.3</v>
      </c>
      <c r="C116" s="4" t="inlineStr">
        <is>
          <t>ESTIMATE - weight not in catalogue (p.45)</t>
        </is>
      </c>
    </row>
    <row r="117">
      <c r="A117" s="4" t="inlineStr">
        <is>
          <t>AKWRS01</t>
        </is>
      </c>
      <c r="B117" s="35" t="n">
        <v>0.3</v>
      </c>
      <c r="C117" s="4" t="inlineStr">
        <is>
          <t>ESTIMATE - weight not in catalogue (p.45)</t>
        </is>
      </c>
    </row>
    <row r="118">
      <c r="A118" s="4" t="inlineStr">
        <is>
          <t>AKWRM01</t>
        </is>
      </c>
      <c r="B118" s="35" t="n">
        <v>0.3</v>
      </c>
      <c r="C118" s="4" t="inlineStr">
        <is>
          <t>ESTIMATE - weight not in catalogue (p.45)</t>
        </is>
      </c>
    </row>
    <row r="119">
      <c r="A119" s="4" t="inlineStr">
        <is>
          <t>AKWRL01</t>
        </is>
      </c>
      <c r="B119" s="35" t="n">
        <v>0.3</v>
      </c>
      <c r="C119" s="4" t="inlineStr">
        <is>
          <t>ESTIMATE - weight not in catalogue (p.45)</t>
        </is>
      </c>
    </row>
    <row r="120">
      <c r="A120" s="4" t="inlineStr">
        <is>
          <t>AKWRR01</t>
        </is>
      </c>
      <c r="B120" s="35" t="n">
        <v>0.3</v>
      </c>
      <c r="C120" s="4" t="inlineStr">
        <is>
          <t>ESTIMATE - weight not in catalogue (p.45)</t>
        </is>
      </c>
    </row>
    <row r="121">
      <c r="A121" s="4" t="inlineStr">
        <is>
          <t>BWNM045</t>
        </is>
      </c>
      <c r="B121" s="35" t="n">
        <v>0.25</v>
      </c>
      <c r="C121" s="4" t="inlineStr">
        <is>
          <t>ESTIMATE - weight not in catalogue (p.46)</t>
        </is>
      </c>
    </row>
    <row r="122">
      <c r="A122" s="4" t="inlineStr">
        <is>
          <t>AKKS003-B-19</t>
        </is>
      </c>
      <c r="B122" s="35" t="n">
        <v>0.3</v>
      </c>
      <c r="C122" s="4" t="inlineStr">
        <is>
          <t>ESTIMATE - 260 g shower (p.26) + MESC019 hose tail est.</t>
        </is>
      </c>
    </row>
    <row r="123">
      <c r="A123" s="4" t="inlineStr">
        <is>
          <t>AKKS003-W-19</t>
        </is>
      </c>
      <c r="B123" s="35" t="n">
        <v>0.3</v>
      </c>
      <c r="C123" s="4" t="inlineStr">
        <is>
          <t>ESTIMATE - 260 g shower (p.26) + MESC019 hose tail est.</t>
        </is>
      </c>
    </row>
    <row r="124">
      <c r="A124" s="4" t="inlineStr">
        <is>
          <t>BALR001-B</t>
        </is>
      </c>
      <c r="B124" s="35" t="n">
        <v>0.4</v>
      </c>
      <c r="C124" s="4" t="inlineStr">
        <is>
          <t>ESTIMATE - weight not in catalogue (p.38)</t>
        </is>
      </c>
    </row>
    <row r="125">
      <c r="A125" s="4" t="inlineStr">
        <is>
          <t>BALRCP1-B</t>
        </is>
      </c>
      <c r="B125" s="35" t="n">
        <v>0.55</v>
      </c>
      <c r="C125" s="4" t="inlineStr">
        <is>
          <t>ESTIMATE - weight not in catalogue (p.38)</t>
        </is>
      </c>
    </row>
    <row r="126">
      <c r="A126" s="4" t="inlineStr">
        <is>
          <t>BALRCP1-NB</t>
        </is>
      </c>
      <c r="B126" s="35" t="n">
        <v>0.55</v>
      </c>
      <c r="C126" s="4" t="inlineStr">
        <is>
          <t>ESTIMATE - weight not in catalogue (p.38)</t>
        </is>
      </c>
    </row>
    <row r="127">
      <c r="A127" s="4" t="inlineStr">
        <is>
          <t>BARRCP2-B</t>
        </is>
      </c>
      <c r="B127" s="35" t="n">
        <v>0.6</v>
      </c>
      <c r="C127" s="4" t="inlineStr">
        <is>
          <t>ESTIMATE - weight not in catalogue (p.38)</t>
        </is>
      </c>
    </row>
    <row r="128">
      <c r="A128" s="4" t="inlineStr">
        <is>
          <t>SWM09-12</t>
        </is>
      </c>
      <c r="B128" s="35" t="n">
        <v>0.09</v>
      </c>
      <c r="C128" s="4" t="inlineStr">
        <is>
          <t>ESTIMATE - catalogue gives dimensions only (p.68-71)</t>
        </is>
      </c>
    </row>
    <row r="129">
      <c r="A129" s="4" t="inlineStr">
        <is>
          <t>SWM09-34</t>
        </is>
      </c>
      <c r="B129" s="35" t="n">
        <v>0.1</v>
      </c>
      <c r="C129" s="4" t="inlineStr">
        <is>
          <t>ESTIMATE - catalogue gives dimensions only (p.68-71)</t>
        </is>
      </c>
    </row>
    <row r="130">
      <c r="A130" s="4" t="inlineStr">
        <is>
          <t>SWM14-34</t>
        </is>
      </c>
      <c r="B130" s="35" t="n">
        <v>0.13</v>
      </c>
      <c r="C130" s="4" t="inlineStr">
        <is>
          <t>ESTIMATE - catalogue gives dimensions only (p.68-71)</t>
        </is>
      </c>
    </row>
    <row r="131">
      <c r="A131" s="4" t="inlineStr">
        <is>
          <t>SWM14-34X34</t>
        </is>
      </c>
      <c r="B131" s="35" t="n">
        <v>0.15</v>
      </c>
      <c r="C131" s="4" t="inlineStr">
        <is>
          <t>ESTIMATE - catalogue gives dimensions only (p.68-71)</t>
        </is>
      </c>
    </row>
    <row r="132">
      <c r="A132" s="4" t="inlineStr">
        <is>
          <t>SWM18-1X1</t>
        </is>
      </c>
      <c r="B132" s="35" t="n">
        <v>0.25</v>
      </c>
      <c r="C132" s="4" t="inlineStr">
        <is>
          <t>ESTIMATE - catalogue gives dimensions only (p.68-71)</t>
        </is>
      </c>
    </row>
    <row r="133">
      <c r="A133" s="4" t="inlineStr">
        <is>
          <t>SWM09-12MX12M</t>
        </is>
      </c>
      <c r="B133" s="35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SWM09-12MX34M</t>
        </is>
      </c>
      <c r="B134" s="35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SWC09-12</t>
        </is>
      </c>
      <c r="B135" s="35" t="n">
        <v>0.09</v>
      </c>
      <c r="C135" s="4" t="inlineStr">
        <is>
          <t>ESTIMATE - catalogue gives dimensions only (p.68-71)</t>
        </is>
      </c>
    </row>
    <row r="136">
      <c r="A136" s="4" t="inlineStr">
        <is>
          <t>SWC09-34</t>
        </is>
      </c>
      <c r="B136" s="35" t="n">
        <v>0.1</v>
      </c>
      <c r="C136" s="4" t="inlineStr">
        <is>
          <t>ESTIMATE - catalogue gives dimensions only (p.68-71)</t>
        </is>
      </c>
    </row>
    <row r="137">
      <c r="A137" s="4" t="inlineStr">
        <is>
          <t>SWR09-12</t>
        </is>
      </c>
      <c r="B137" s="35" t="n">
        <v>0.09</v>
      </c>
      <c r="C137" s="4" t="inlineStr">
        <is>
          <t>ESTIMATE - catalogue gives dimensions only (p.68-71)</t>
        </is>
      </c>
    </row>
    <row r="138">
      <c r="A138" s="4" t="inlineStr">
        <is>
          <t>SWR09-34</t>
        </is>
      </c>
      <c r="B138" s="35" t="n">
        <v>0.1</v>
      </c>
      <c r="C138" s="4" t="inlineStr">
        <is>
          <t>ESTIMATE - catalogue gives dimensions only (p.68-71)</t>
        </is>
      </c>
    </row>
    <row r="139">
      <c r="A139" s="4" t="inlineStr">
        <is>
          <t>SWR14-34</t>
        </is>
      </c>
      <c r="B139" s="35" t="n">
        <v>0.13</v>
      </c>
      <c r="C139" s="4" t="inlineStr">
        <is>
          <t>ESTIMATE - catalogue gives dimensions only (p.68-71)</t>
        </is>
      </c>
    </row>
    <row r="140">
      <c r="A140" s="4" t="inlineStr">
        <is>
          <t>SWR14-34X34</t>
        </is>
      </c>
      <c r="B140" s="35" t="n">
        <v>0.15</v>
      </c>
      <c r="C140" s="4" t="inlineStr">
        <is>
          <t>ESTIMATE - catalogue gives dimensions only (p.68-71)</t>
        </is>
      </c>
    </row>
    <row r="141">
      <c r="A141" s="4" t="inlineStr">
        <is>
          <t>SWR18-1X1</t>
        </is>
      </c>
      <c r="B141" s="35" t="n">
        <v>0.25</v>
      </c>
      <c r="C141" s="4" t="inlineStr">
        <is>
          <t>ESTIMATE - catalogue gives dimensions only (p.68-71)</t>
        </is>
      </c>
    </row>
    <row r="142">
      <c r="A142" s="4" t="inlineStr">
        <is>
          <t>SWR09-12Mx12M</t>
        </is>
      </c>
      <c r="B142" s="35" t="n">
        <v>0.09</v>
      </c>
      <c r="C142" s="4" t="inlineStr">
        <is>
          <t>ESTIMATE - catalogue gives dimensions only (p.68-71)</t>
        </is>
      </c>
    </row>
    <row r="143">
      <c r="A143" s="4" t="inlineStr">
        <is>
          <t>SWR09-12MX34M</t>
        </is>
      </c>
      <c r="B143" s="35" t="n">
        <v>0.1</v>
      </c>
      <c r="C143" s="4" t="inlineStr">
        <is>
          <t>ESTIMATE - catalogue gives dimensions only (p.68-71)</t>
        </is>
      </c>
    </row>
    <row r="144">
      <c r="A144" s="4" t="inlineStr">
        <is>
          <t>SWIFM1/2</t>
        </is>
      </c>
      <c r="B144" s="35" t="n">
        <v>0.06</v>
      </c>
      <c r="C144" s="4" t="inlineStr">
        <is>
          <t>ESTIMATE - catalogue gives dimensions only (p.68-71)</t>
        </is>
      </c>
    </row>
    <row r="145">
      <c r="A145" s="4" t="inlineStr">
        <is>
          <t>SWIFR1/2</t>
        </is>
      </c>
      <c r="B145" s="35" t="n">
        <v>0.06</v>
      </c>
      <c r="C145" s="4" t="inlineStr">
        <is>
          <t>ESTIMATE - catalogue gives dimensions only (p.68-71)</t>
        </is>
      </c>
    </row>
    <row r="146">
      <c r="A146" s="4" t="inlineStr">
        <is>
          <t>SWIFB10</t>
        </is>
      </c>
      <c r="B146" s="35" t="n">
        <v>0.08</v>
      </c>
      <c r="C146" s="4" t="inlineStr">
        <is>
          <t>ESTIMATE - catalogue gives dimensions only (p.68-71)</t>
        </is>
      </c>
    </row>
    <row r="147">
      <c r="A147" s="4" t="inlineStr">
        <is>
          <t>SWIFB13-C17</t>
        </is>
      </c>
      <c r="B147" s="35" t="n">
        <v>0.09</v>
      </c>
      <c r="C147" s="4" t="inlineStr">
        <is>
          <t>ESTIMATE - catalogue gives dimensions only (p.68-71)</t>
        </is>
      </c>
    </row>
    <row r="148">
      <c r="A148" s="4" t="inlineStr">
        <is>
          <t>SWIFB13-C17-SP</t>
        </is>
      </c>
      <c r="B148" s="35" t="n">
        <v>0.13</v>
      </c>
      <c r="C148" s="4" t="inlineStr">
        <is>
          <t>ESTIMATE - catalogue gives dimensions only (p.68-71)</t>
        </is>
      </c>
    </row>
    <row r="149">
      <c r="A149" s="4" t="inlineStr">
        <is>
          <t>SWIFB13-C20</t>
        </is>
      </c>
      <c r="B149" s="35" t="n">
        <v>0.09</v>
      </c>
      <c r="C149" s="4" t="inlineStr">
        <is>
          <t>ESTIMATE - catalogue gives dimensions only (p.68-71)</t>
        </is>
      </c>
    </row>
    <row r="150">
      <c r="A150" s="4" t="inlineStr">
        <is>
          <t>SWIFB13-C20-SP</t>
        </is>
      </c>
      <c r="B150" s="35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SWIFB16-C21</t>
        </is>
      </c>
      <c r="B151" s="35" t="n">
        <v>0.1</v>
      </c>
      <c r="C151" s="4" t="inlineStr">
        <is>
          <t>ESTIMATE - catalogue gives dimensions only (p.68-71)</t>
        </is>
      </c>
    </row>
    <row r="152">
      <c r="A152" s="4" t="inlineStr">
        <is>
          <t>SWIFB16-C21-SP</t>
        </is>
      </c>
      <c r="B152" s="35" t="n">
        <v>0.14</v>
      </c>
      <c r="C152" s="4" t="inlineStr">
        <is>
          <t>ESTIMATE - catalogue gives dimensions only (p.68-71)</t>
        </is>
      </c>
    </row>
    <row r="153">
      <c r="A153" s="4" t="inlineStr">
        <is>
          <t>SWIFB19-C24</t>
        </is>
      </c>
      <c r="B153" s="35" t="n">
        <v>0.12</v>
      </c>
      <c r="C153" s="4" t="inlineStr">
        <is>
          <t>ESTIMATE - catalogue gives dimensions only (p.68-71)</t>
        </is>
      </c>
    </row>
    <row r="154">
      <c r="A154" s="4" t="inlineStr">
        <is>
          <t>SWIFB19-C24-34</t>
        </is>
      </c>
      <c r="B154" s="35" t="n">
        <v>0.13</v>
      </c>
      <c r="C154" s="4" t="inlineStr">
        <is>
          <t>ESTIMATE - catalogue gives dimensions only (p.68-71)</t>
        </is>
      </c>
    </row>
    <row r="155">
      <c r="A155" s="4" t="inlineStr">
        <is>
          <t>SWIFB19-C24-34S</t>
        </is>
      </c>
      <c r="B155" s="35" t="n">
        <v>0.17</v>
      </c>
      <c r="C155" s="4" t="inlineStr">
        <is>
          <t>ESTIMATE - catalogue gives dimensions only (p.68-71)</t>
        </is>
      </c>
    </row>
    <row r="156">
      <c r="A156" s="4" t="inlineStr">
        <is>
          <t>SWIFB19-C24-SP</t>
        </is>
      </c>
      <c r="B156" s="35" t="n">
        <v>0.16</v>
      </c>
      <c r="C156" s="4" t="inlineStr">
        <is>
          <t>ESTIMATE - catalogue gives dimensions only (p.68-71)</t>
        </is>
      </c>
    </row>
    <row r="157">
      <c r="A157" s="4" t="inlineStr">
        <is>
          <t>MESS013</t>
        </is>
      </c>
      <c r="B157" s="35" t="n">
        <v>0.03</v>
      </c>
      <c r="C157" s="4" t="inlineStr">
        <is>
          <t>ESTIMATE - catalogue gives dimensions only (p.68-71)</t>
        </is>
      </c>
    </row>
    <row r="158">
      <c r="A158" s="4" t="inlineStr">
        <is>
          <t>MESS019</t>
        </is>
      </c>
      <c r="B158" s="35" t="n">
        <v>0.04</v>
      </c>
      <c r="C158" s="4" t="inlineStr">
        <is>
          <t>ESTIMATE - catalogue gives dimensions only (p.68-71)</t>
        </is>
      </c>
    </row>
    <row r="159">
      <c r="A159" s="4" t="inlineStr">
        <is>
          <t>MESS025</t>
        </is>
      </c>
      <c r="B159" s="35" t="n">
        <v>0.06</v>
      </c>
      <c r="C159" s="4" t="inlineStr">
        <is>
          <t>ESTIMATE - catalogue gives dimensions only (p.68-71)</t>
        </is>
      </c>
    </row>
    <row r="160">
      <c r="A160" s="4" t="inlineStr">
        <is>
          <t>MESC013</t>
        </is>
      </c>
      <c r="B160" s="35" t="n">
        <v>0.035</v>
      </c>
      <c r="C160" s="4" t="inlineStr">
        <is>
          <t>ESTIMATE - catalogue gives dimensions only (p.68-71)</t>
        </is>
      </c>
    </row>
    <row r="161">
      <c r="A161" s="4" t="inlineStr">
        <is>
          <t>MESC016</t>
        </is>
      </c>
      <c r="B161" s="35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MESC019</t>
        </is>
      </c>
      <c r="B162" s="35" t="n">
        <v>0.045</v>
      </c>
      <c r="C162" s="4" t="inlineStr">
        <is>
          <t>ESTIMATE - catalogue gives dimensions only (p.68-71)</t>
        </is>
      </c>
    </row>
    <row r="163">
      <c r="A163" s="4" t="inlineStr">
        <is>
          <t>RVST013-C17</t>
        </is>
      </c>
      <c r="B163" s="35" t="n">
        <v>0.04</v>
      </c>
      <c r="C163" s="4" t="inlineStr">
        <is>
          <t>ESTIMATE - catalogue gives dimensions only (p.68-71)</t>
        </is>
      </c>
    </row>
    <row r="164">
      <c r="A164" s="4" t="inlineStr">
        <is>
          <t>RVST013-C17-SP</t>
        </is>
      </c>
      <c r="B164" s="35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RVST013-C20</t>
        </is>
      </c>
      <c r="B165" s="35" t="n">
        <v>0.04</v>
      </c>
      <c r="C165" s="4" t="inlineStr">
        <is>
          <t>ESTIMATE - catalogue gives dimensions only (p.68-71)</t>
        </is>
      </c>
    </row>
    <row r="166">
      <c r="A166" s="4" t="inlineStr">
        <is>
          <t>RVST013-C20-12F</t>
        </is>
      </c>
      <c r="B166" s="35" t="n">
        <v>0.05</v>
      </c>
      <c r="C166" s="4" t="inlineStr">
        <is>
          <t>ESTIMATE - catalogue gives dimensions only (p.68-71)</t>
        </is>
      </c>
    </row>
    <row r="167">
      <c r="A167" s="4" t="inlineStr">
        <is>
          <t>RVST013-C20-34F</t>
        </is>
      </c>
      <c r="B167" s="35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RVST013-C20-SP</t>
        </is>
      </c>
      <c r="B168" s="35" t="n">
        <v>0.08</v>
      </c>
      <c r="C168" s="4" t="inlineStr">
        <is>
          <t>ESTIMATE - catalogue gives dimensions only (p.68-71)</t>
        </is>
      </c>
    </row>
    <row r="169">
      <c r="A169" s="4" t="inlineStr">
        <is>
          <t>RVST016-C21</t>
        </is>
      </c>
      <c r="B169" s="35" t="n">
        <v>0.05</v>
      </c>
      <c r="C169" s="4" t="inlineStr">
        <is>
          <t>ESTIMATE - catalogue gives dimensions only (p.68-71)</t>
        </is>
      </c>
    </row>
    <row r="170">
      <c r="A170" s="4" t="inlineStr">
        <is>
          <t>RVST016-C21-SP</t>
        </is>
      </c>
      <c r="B170" s="35" t="n">
        <v>0.09</v>
      </c>
      <c r="C170" s="4" t="inlineStr">
        <is>
          <t>ESTIMATE - catalogue gives dimensions only (p.68-71)</t>
        </is>
      </c>
    </row>
    <row r="171">
      <c r="A171" s="4" t="inlineStr">
        <is>
          <t>RVST019-C24</t>
        </is>
      </c>
      <c r="B171" s="35" t="n">
        <v>0.06</v>
      </c>
      <c r="C171" s="4" t="inlineStr">
        <is>
          <t>ESTIMATE - catalogue gives dimensions only (p.68-71)</t>
        </is>
      </c>
    </row>
    <row r="172">
      <c r="A172" s="4" t="inlineStr">
        <is>
          <t>RVST019-C24-SP</t>
        </is>
      </c>
      <c r="B172" s="35" t="n">
        <v>0.1</v>
      </c>
      <c r="C172" s="4" t="inlineStr">
        <is>
          <t>ESTIMATE - catalogue gives dimensions only (p.68-71)</t>
        </is>
      </c>
    </row>
    <row r="173">
      <c r="A173" s="4" t="inlineStr">
        <is>
          <t>RVST025</t>
        </is>
      </c>
      <c r="B173" s="35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RVSW13C17-12C</t>
        </is>
      </c>
      <c r="B174" s="35" t="n">
        <v>0.06</v>
      </c>
      <c r="C174" s="4" t="inlineStr">
        <is>
          <t>ESTIMATE - catalogue gives dimensions only (p.68-71)</t>
        </is>
      </c>
    </row>
    <row r="175">
      <c r="A175" s="4" t="inlineStr">
        <is>
          <t>RVSW13C17-34F</t>
        </is>
      </c>
      <c r="B175" s="35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RVSW13C20-12C</t>
        </is>
      </c>
      <c r="B176" s="35" t="n">
        <v>0.06</v>
      </c>
      <c r="C176" s="4" t="inlineStr">
        <is>
          <t>ESTIMATE - catalogue gives dimensions only (p.68-71)</t>
        </is>
      </c>
    </row>
    <row r="177">
      <c r="A177" s="4" t="inlineStr">
        <is>
          <t>RVSW13C20-12F</t>
        </is>
      </c>
      <c r="B177" s="35" t="n">
        <v>0.06</v>
      </c>
      <c r="C177" s="4" t="inlineStr">
        <is>
          <t>ESTIMATE - catalogue gives dimensions only (p.68-71)</t>
        </is>
      </c>
    </row>
    <row r="178">
      <c r="A178" s="4" t="inlineStr">
        <is>
          <t>RVSW13C20-12FS</t>
        </is>
      </c>
      <c r="B178" s="35" t="n">
        <v>0.1</v>
      </c>
      <c r="C178" s="4" t="inlineStr">
        <is>
          <t>ESTIMATE - catalogue gives dimensions only (p.68-71)</t>
        </is>
      </c>
    </row>
    <row r="179">
      <c r="A179" s="4" t="inlineStr">
        <is>
          <t>RVSW13C20-34F</t>
        </is>
      </c>
      <c r="B179" s="35" t="n">
        <v>0.07000000000000001</v>
      </c>
      <c r="C179" s="4" t="inlineStr">
        <is>
          <t>ESTIMATE - catalogue gives dimensions only (p.68-71)</t>
        </is>
      </c>
    </row>
    <row r="180">
      <c r="A180" s="4" t="inlineStr">
        <is>
          <t>RVSW16C21-12C</t>
        </is>
      </c>
      <c r="B180" s="35" t="n">
        <v>0.07000000000000001</v>
      </c>
      <c r="C180" s="4" t="inlineStr">
        <is>
          <t>ESTIMATE - catalogue gives dimensions only (p.68-71)</t>
        </is>
      </c>
    </row>
    <row r="181">
      <c r="A181" s="4" t="inlineStr">
        <is>
          <t>RVSW16C21-12CS</t>
        </is>
      </c>
      <c r="B181" s="35" t="n">
        <v>0.11</v>
      </c>
      <c r="C181" s="4" t="inlineStr">
        <is>
          <t>ESTIMATE - catalogue gives dimensions only (p.68-71)</t>
        </is>
      </c>
    </row>
    <row r="182">
      <c r="A182" s="4" t="inlineStr">
        <is>
          <t>RVSW16C21-12F</t>
        </is>
      </c>
      <c r="B182" s="35" t="n">
        <v>0.07000000000000001</v>
      </c>
      <c r="C182" s="4" t="inlineStr">
        <is>
          <t>ESTIMATE - catalogue gives dimensions only (p.68-71)</t>
        </is>
      </c>
    </row>
    <row r="183">
      <c r="A183" s="4" t="inlineStr">
        <is>
          <t>RVSW16C21-34F</t>
        </is>
      </c>
      <c r="B183" s="35" t="n">
        <v>0.08</v>
      </c>
      <c r="C183" s="4" t="inlineStr">
        <is>
          <t>ESTIMATE - catalogue gives dimensions only (p.68-71)</t>
        </is>
      </c>
    </row>
    <row r="184">
      <c r="A184" s="4" t="inlineStr">
        <is>
          <t>RVSW19C24-34C</t>
        </is>
      </c>
      <c r="B184" s="35" t="n">
        <v>0.09</v>
      </c>
      <c r="C184" s="4" t="inlineStr">
        <is>
          <t>ESTIMATE - catalogue gives dimensions only (p.68-71)</t>
        </is>
      </c>
    </row>
    <row r="185">
      <c r="A185" s="4" t="inlineStr">
        <is>
          <t>RVSW19C24-34F</t>
        </is>
      </c>
      <c r="B185" s="35" t="n">
        <v>0.09</v>
      </c>
      <c r="C185" s="4" t="inlineStr">
        <is>
          <t>ESTIMATE - catalogue gives dimensions only (p.68-71)</t>
        </is>
      </c>
    </row>
    <row r="186">
      <c r="A186" s="4" t="inlineStr">
        <is>
          <t>RVSW19C24-1C</t>
        </is>
      </c>
      <c r="B186" s="35" t="n">
        <v>0.11</v>
      </c>
      <c r="C186" s="4" t="inlineStr">
        <is>
          <t>ESTIMATE - catalogue gives dimensions only (p.68-71)</t>
        </is>
      </c>
    </row>
    <row r="187">
      <c r="A187" s="4" t="inlineStr">
        <is>
          <t>RVSW19C24-1F</t>
        </is>
      </c>
      <c r="B187" s="35" t="n">
        <v>0.11</v>
      </c>
      <c r="C187" s="4" t="inlineStr">
        <is>
          <t>ESTIMATE - catalogue gives dimensions only (p.68-71)</t>
        </is>
      </c>
    </row>
    <row r="188">
      <c r="A188" s="4" t="inlineStr">
        <is>
          <t>RVSW25C36-1C</t>
        </is>
      </c>
      <c r="B188" s="35" t="n">
        <v>0.13</v>
      </c>
      <c r="C188" s="4" t="inlineStr">
        <is>
          <t>ESTIMATE - catalogue gives dimensions only (p.68-71)</t>
        </is>
      </c>
    </row>
    <row r="190">
      <c r="A190" s="3" t="inlineStr">
        <is>
          <t>3. Part-number / data queries</t>
        </is>
      </c>
    </row>
    <row r="191">
      <c r="A191" s="4" t="inlineStr">
        <is>
          <t>BRFTP03-B-PRIN</t>
        </is>
      </c>
      <c r="C191" s="4" t="inlineStr">
        <is>
          <t>Pricelist code BRFTP03 vs catalogue/conversion BRFTP13 - confirm with AKBO.</t>
        </is>
      </c>
    </row>
    <row r="192">
      <c r="A192" s="4" t="inlineStr">
        <is>
          <t>AKR001-B</t>
        </is>
      </c>
      <c r="C192" s="4" t="inlineStr">
        <is>
          <t>Catalogue code is AKRS001-B - confirm with AKBO.</t>
        </is>
      </c>
    </row>
    <row r="193">
      <c r="A193" s="4" t="inlineStr">
        <is>
          <t>AKMBP01-BL</t>
        </is>
      </c>
      <c r="C193" s="4" t="inlineStr">
        <is>
          <t>Catalogue only lists AKMBP01-B-SWM14-3/4 (with swivel) - confirm model.</t>
        </is>
      </c>
    </row>
    <row r="194">
      <c r="A194" s="4" t="inlineStr">
        <is>
          <t>AKRB001-BL</t>
        </is>
      </c>
      <c r="C194" s="4" t="inlineStr">
        <is>
          <t>Not in Classic High-Flow brochure (brass only) - series name to confirm.</t>
        </is>
      </c>
    </row>
    <row r="195">
      <c r="A195" s="4" t="inlineStr">
        <is>
          <t>AKRB001-BL</t>
        </is>
      </c>
      <c r="C195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6">
      <c r="A196" s="4" t="inlineStr">
        <is>
          <t>AKRHP01-R</t>
        </is>
      </c>
      <c r="C196" s="4" t="inlineStr">
        <is>
          <t>Conversion table: Body text calls the base model "AKRHP01-R" but the technical-data table heads its column "AKRHP02-R" - confirm which is correct with AKBO</t>
        </is>
      </c>
    </row>
    <row r="197">
      <c r="A197" s="4" t="inlineStr">
        <is>
          <t>AKRHP02-R-L40</t>
        </is>
      </c>
      <c r="C197" s="4" t="inlineStr">
        <is>
          <t>Conversion table: Table heading drops the "-R-" and reads "AKRHP02-L40" - confirm exact number with AKBO</t>
        </is>
      </c>
    </row>
    <row r="198">
      <c r="A198" s="4" t="inlineStr">
        <is>
          <t>BABTLF1-BL</t>
        </is>
      </c>
      <c r="C198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9">
      <c r="A199" s="4" t="inlineStr">
        <is>
          <t>AKMSHHL1-BL</t>
        </is>
      </c>
      <c r="C199" s="4" t="inlineStr">
        <is>
          <t>Conversion table: Technical-data table only lists dimensions/weight for the with-handle assemblies (AKMSHL1-B/AKRSHL1-B) - head-only weight not separately tabulated on this page</t>
        </is>
      </c>
    </row>
    <row r="200">
      <c r="A200" s="4" t="inlineStr">
        <is>
          <t>AKRSHHL1-BL</t>
        </is>
      </c>
      <c r="C200" s="4" t="inlineStr">
        <is>
          <t>Conversion table: Technical-data table only lists dimensions/weight for the with-handle assemblies - head-only weight not separately tabulated on this page</t>
        </is>
      </c>
    </row>
    <row r="201">
      <c r="A201" s="4" t="inlineStr">
        <is>
          <t>AKRSHW3-W</t>
        </is>
      </c>
      <c r="C201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202">
      <c r="A202" s="4" t="inlineStr">
        <is>
          <t>AGIL572 / AKAWLU1-B</t>
        </is>
      </c>
      <c r="C202" s="4" t="inlineStr">
        <is>
          <t>AKBO give one price plus a pack-qty offer (48 pcs EUR 9.87 / 20 pcs EUR 66.81) - priced at the first break, offer kept as a note.</t>
        </is>
      </c>
    </row>
    <row r="203">
      <c r="A203" s="4" t="inlineStr">
        <is>
          <t>Heavy duty spray guns</t>
        </is>
      </c>
      <c r="C203" s="4" t="inlineStr">
        <is>
          <t>AKBO give no &gt;=50 pcs price for most guns - left blank.</t>
        </is>
      </c>
    </row>
    <row r="205">
      <c r="A205" s="3" t="inlineStr">
        <is>
          <t>4. AKBO items left off the pricelist (not sold by Nozzleworks)</t>
        </is>
      </c>
    </row>
    <row r="206">
      <c r="A206" s="4" t="inlineStr">
        <is>
          <t>AKMNP01-B-SW12</t>
        </is>
      </c>
      <c r="B206" s="4" t="inlineStr">
        <is>
          <t>Brass water gun, with trigger protection, ball bearing swivel input 1/2"F, blue</t>
        </is>
      </c>
      <c r="C206" s="4" t="inlineStr">
        <is>
          <t>Swivel variant - not sold (removed from v3 brochures).</t>
        </is>
      </c>
    </row>
    <row r="207">
      <c r="A207" s="4" t="inlineStr">
        <is>
          <t>AKMNP01-B-SW34</t>
        </is>
      </c>
      <c r="B207" s="4" t="inlineStr">
        <is>
          <t>Brass water gun, with trigger protection, ball bearing swivel input 3/4"F, blue</t>
        </is>
      </c>
      <c r="C207" s="4" t="inlineStr">
        <is>
          <t>Swivel variant - not sold (removed from v3 brochures).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2026-10-06T20:34:01Z</dcterms:created>
  <dcterms:modified xsi:type="dcterms:W3CDTF">2026-10-06T20:34:01Z</dcterms:modified>
</cp:coreProperties>
</file>