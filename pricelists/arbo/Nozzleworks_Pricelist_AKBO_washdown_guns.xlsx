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  <numFmt numFmtId="169" formatCode="0.0%;[Red]-0.0%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9" fontId="4" fillId="0" borderId="1" pivotButton="0" quotePrefix="0" xfId="0"/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248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  <col width="3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  <c r="R4" s="3" t="inlineStr">
        <is>
          <t>WORKING SECTION - discount / net price / gross profit</t>
        </is>
      </c>
    </row>
    <row r="5">
      <c r="A5" s="4" t="inlineStr">
        <is>
          <t>Exchange rate (EUR per 1 NZD)</t>
        </is>
      </c>
      <c r="C5" s="5" t="n">
        <v>0.47</v>
      </c>
      <c r="D5" s="6" t="inlineStr">
        <is>
          <t>Per Andrew 07-Oct-2026 - to be reviewed. NZD cost = EUR / rate.</t>
        </is>
      </c>
      <c r="M5" s="3" t="inlineStr">
        <is>
          <t>Items listed</t>
        </is>
      </c>
      <c r="N5" s="4">
        <f>COUNT(G14:G248)</f>
        <v/>
      </c>
      <c r="R5" s="6" t="inlineStr">
        <is>
          <t>Edit yellow cells. Row discount overrides the default; GP = net price - landed cost.</t>
        </is>
      </c>
    </row>
    <row r="6">
      <c r="A6" s="4" t="inlineStr">
        <is>
          <t>Freight rate (NZD per kg)</t>
        </is>
      </c>
      <c r="C6" s="7" t="n">
        <v>25</v>
      </c>
      <c r="D6" s="6" t="inlineStr">
        <is>
          <t>Per Andrew 07-Oct-2026 - placeholder, to be updated.</t>
        </is>
      </c>
      <c r="M6" s="3" t="inlineStr">
        <is>
          <t>No NW part no.</t>
        </is>
      </c>
      <c r="N6" s="4">
        <f>COUNTIF(B14:B248,"NOT ASSIGNED")</f>
        <v/>
      </c>
      <c r="R6" s="4" t="inlineStr">
        <is>
          <t>Default discount % off list</t>
        </is>
      </c>
      <c r="U6" s="8" t="n">
        <v>0</v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COUNTIF(F14:F248,"ESTIMATE*")</f>
        <v/>
      </c>
      <c r="R7" s="4" t="inlineStr">
        <is>
          <t>Flag GP % below</t>
        </is>
      </c>
      <c r="U7" s="8" t="n">
        <v>0.3</v>
      </c>
      <c r="V7" s="6" t="inlineStr">
        <is>
          <t>ASSUMPTION - 30% warning level, set as required.</t>
        </is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1.15</v>
      </c>
      <c r="D9" s="6" t="inlineStr">
        <is>
          <t>Per Andrew 07-Oct-2026 - 115%,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  <c r="R13" s="11" t="inlineStr">
        <is>
          <t>Discount % (row)</t>
        </is>
      </c>
      <c r="S13" s="11" t="inlineStr">
        <is>
          <t>Net price NZD / pc (after discount)</t>
        </is>
      </c>
      <c r="T13" s="12" t="n"/>
      <c r="U13" s="13" t="n"/>
      <c r="V13" s="11" t="inlineStr">
        <is>
          <t>Gross profit NZD / pc</t>
        </is>
      </c>
      <c r="W13" s="12" t="n"/>
      <c r="X13" s="13" t="n"/>
      <c r="Y13" s="11" t="inlineStr">
        <is>
          <t>GP % of net price</t>
        </is>
      </c>
      <c r="Z13" s="12" t="n"/>
      <c r="AA13" s="13" t="n"/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</row>
    <row r="16"/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  <c r="R17" s="17" t="n"/>
      <c r="S17" s="18" t="inlineStr">
        <is>
          <t>&lt; 20 pcs</t>
        </is>
      </c>
      <c r="T17" s="18" t="inlineStr">
        <is>
          <t>≥ 20 pcs</t>
        </is>
      </c>
      <c r="U17" s="18" t="inlineStr">
        <is>
          <t>≥ 50 pcs</t>
        </is>
      </c>
      <c r="V17" s="18" t="inlineStr">
        <is>
          <t>&lt; 20 pcs</t>
        </is>
      </c>
      <c r="W17" s="18" t="inlineStr">
        <is>
          <t>≥ 20 pcs</t>
        </is>
      </c>
      <c r="X17" s="18" t="inlineStr">
        <is>
          <t>≥ 50 pcs</t>
        </is>
      </c>
      <c r="Y17" s="18" t="inlineStr">
        <is>
          <t>&lt; 20 pcs</t>
        </is>
      </c>
      <c r="Z17" s="18" t="inlineStr">
        <is>
          <t>≥ 20 pcs</t>
        </is>
      </c>
      <c r="AA17" s="18" t="inlineStr">
        <is>
          <t>≥ 50 pcs</t>
        </is>
      </c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WD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  <c r="R18" s="8" t="n"/>
      <c r="S18" s="28">
        <f>IF(M18="","",ROUND(M18*(1-IF($R18="",$U$6,$R18)),2))</f>
        <v/>
      </c>
      <c r="T18" s="28">
        <f>IF(N18="","",ROUND(N18*(1-IF($R18="",$U$6,$R18)),2))</f>
        <v/>
      </c>
      <c r="U18" s="28">
        <f>IF(O18="","",ROUND(O18*(1-IF($R18="",$U$6,$R18)),2))</f>
        <v/>
      </c>
      <c r="V18" s="27">
        <f>IF(S18="","",S18-J18)</f>
        <v/>
      </c>
      <c r="W18" s="27">
        <f>IF(T18="","",T18-K18)</f>
        <v/>
      </c>
      <c r="X18" s="27">
        <f>IF(U18="","",U18-L18)</f>
        <v/>
      </c>
      <c r="Y18" s="30">
        <f>IF(OR(S18="",S18=0),"",V18/S18)</f>
        <v/>
      </c>
      <c r="Z18" s="30">
        <f>IF(OR(T18="",T18=0),"",W18/T18)</f>
        <v/>
      </c>
      <c r="AA18" s="30">
        <f>IF(OR(U18="",U18=0),"",X18/U18)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WD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  <c r="R19" s="8" t="n"/>
      <c r="S19" s="28">
        <f>IF(M19="","",ROUND(M19*(1-IF($R19="",$U$6,$R19)),2))</f>
        <v/>
      </c>
      <c r="T19" s="28">
        <f>IF(N19="","",ROUND(N19*(1-IF($R19="",$U$6,$R19)),2))</f>
        <v/>
      </c>
      <c r="U19" s="28">
        <f>IF(O19="","",ROUND(O19*(1-IF($R19="",$U$6,$R19)),2))</f>
        <v/>
      </c>
      <c r="V19" s="27">
        <f>IF(S19="","",S19-J19)</f>
        <v/>
      </c>
      <c r="W19" s="27">
        <f>IF(T19="","",T19-K19)</f>
        <v/>
      </c>
      <c r="X19" s="27">
        <f>IF(U19="","",U19-L19)</f>
        <v/>
      </c>
      <c r="Y19" s="30">
        <f>IF(OR(S19="",S19=0),"",V19/S19)</f>
        <v/>
      </c>
      <c r="Z19" s="30">
        <f>IF(OR(T19="",T19=0),"",W19/T19)</f>
        <v/>
      </c>
      <c r="AA19" s="30">
        <f>IF(OR(U19="",U19=0),"",X19/U19)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WD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  <c r="R20" s="8" t="n"/>
      <c r="S20" s="28">
        <f>IF(M20="","",ROUND(M20*(1-IF($R20="",$U$6,$R20)),2))</f>
        <v/>
      </c>
      <c r="T20" s="28">
        <f>IF(N20="","",ROUND(N20*(1-IF($R20="",$U$6,$R20)),2))</f>
        <v/>
      </c>
      <c r="U20" s="28">
        <f>IF(O20="","",ROUND(O20*(1-IF($R20="",$U$6,$R20)),2))</f>
        <v/>
      </c>
      <c r="V20" s="27">
        <f>IF(S20="","",S20-J20)</f>
        <v/>
      </c>
      <c r="W20" s="27">
        <f>IF(T20="","",T20-K20)</f>
        <v/>
      </c>
      <c r="X20" s="27">
        <f>IF(U20="","",U20-L20)</f>
        <v/>
      </c>
      <c r="Y20" s="30">
        <f>IF(OR(S20="",S20=0),"",V20/S20)</f>
        <v/>
      </c>
      <c r="Z20" s="30">
        <f>IF(OR(T20="",T20=0),"",W20/T20)</f>
        <v/>
      </c>
      <c r="AA20" s="30">
        <f>IF(OR(U20="",U20=0),"",X20/U20)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WD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  <c r="R21" s="8" t="n"/>
      <c r="S21" s="28">
        <f>IF(M21="","",ROUND(M21*(1-IF($R21="",$U$6,$R21)),2))</f>
        <v/>
      </c>
      <c r="T21" s="28">
        <f>IF(N21="","",ROUND(N21*(1-IF($R21="",$U$6,$R21)),2))</f>
        <v/>
      </c>
      <c r="U21" s="28">
        <f>IF(O21="","",ROUND(O21*(1-IF($R21="",$U$6,$R21)),2))</f>
        <v/>
      </c>
      <c r="V21" s="27">
        <f>IF(S21="","",S21-J21)</f>
        <v/>
      </c>
      <c r="W21" s="27">
        <f>IF(T21="","",T21-K21)</f>
        <v/>
      </c>
      <c r="X21" s="27">
        <f>IF(U21="","",U21-L21)</f>
        <v/>
      </c>
      <c r="Y21" s="30">
        <f>IF(OR(S21="",S21=0),"",V21/S21)</f>
        <v/>
      </c>
      <c r="Z21" s="30">
        <f>IF(OR(T21="",T21=0),"",W21/T21)</f>
        <v/>
      </c>
      <c r="AA21" s="30">
        <f>IF(OR(U21="",U21=0),"",X21/U21)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WD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  <c r="R22" s="8" t="n"/>
      <c r="S22" s="28">
        <f>IF(M22="","",ROUND(M22*(1-IF($R22="",$U$6,$R22)),2))</f>
        <v/>
      </c>
      <c r="T22" s="28">
        <f>IF(N22="","",ROUND(N22*(1-IF($R22="",$U$6,$R22)),2))</f>
        <v/>
      </c>
      <c r="U22" s="28">
        <f>IF(O22="","",ROUND(O22*(1-IF($R22="",$U$6,$R22)),2))</f>
        <v/>
      </c>
      <c r="V22" s="27">
        <f>IF(S22="","",S22-J22)</f>
        <v/>
      </c>
      <c r="W22" s="27">
        <f>IF(T22="","",T22-K22)</f>
        <v/>
      </c>
      <c r="X22" s="27">
        <f>IF(U22="","",U22-L22)</f>
        <v/>
      </c>
      <c r="Y22" s="30">
        <f>IF(OR(S22="",S22=0),"",V22/S22)</f>
        <v/>
      </c>
      <c r="Z22" s="30">
        <f>IF(OR(T22="",T22=0),"",W22/T22)</f>
        <v/>
      </c>
      <c r="AA22" s="30">
        <f>IF(OR(U22="",U22=0),"",X22/U22)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WD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  <c r="R23" s="8" t="n"/>
      <c r="S23" s="28">
        <f>IF(M23="","",ROUND(M23*(1-IF($R23="",$U$6,$R23)),2))</f>
        <v/>
      </c>
      <c r="T23" s="28">
        <f>IF(N23="","",ROUND(N23*(1-IF($R23="",$U$6,$R23)),2))</f>
        <v/>
      </c>
      <c r="U23" s="28">
        <f>IF(O23="","",ROUND(O23*(1-IF($R23="",$U$6,$R23)),2))</f>
        <v/>
      </c>
      <c r="V23" s="27">
        <f>IF(S23="","",S23-J23)</f>
        <v/>
      </c>
      <c r="W23" s="27">
        <f>IF(T23="","",T23-K23)</f>
        <v/>
      </c>
      <c r="X23" s="27">
        <f>IF(U23="","",U23-L23)</f>
        <v/>
      </c>
      <c r="Y23" s="30">
        <f>IF(OR(S23="",S23=0),"",V23/S23)</f>
        <v/>
      </c>
      <c r="Z23" s="30">
        <f>IF(OR(T23="",T23=0),"",W23/T23)</f>
        <v/>
      </c>
      <c r="AA23" s="30">
        <f>IF(OR(U23="",U23=0),"",X23/U23)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WD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  <c r="R24" s="8" t="n"/>
      <c r="S24" s="28">
        <f>IF(M24="","",ROUND(M24*(1-IF($R24="",$U$6,$R24)),2))</f>
        <v/>
      </c>
      <c r="T24" s="28">
        <f>IF(N24="","",ROUND(N24*(1-IF($R24="",$U$6,$R24)),2))</f>
        <v/>
      </c>
      <c r="U24" s="28">
        <f>IF(O24="","",ROUND(O24*(1-IF($R24="",$U$6,$R24)),2))</f>
        <v/>
      </c>
      <c r="V24" s="27">
        <f>IF(S24="","",S24-J24)</f>
        <v/>
      </c>
      <c r="W24" s="27">
        <f>IF(T24="","",T24-K24)</f>
        <v/>
      </c>
      <c r="X24" s="27">
        <f>IF(U24="","",U24-L24)</f>
        <v/>
      </c>
      <c r="Y24" s="30">
        <f>IF(OR(S24="",S24=0),"",V24/S24)</f>
        <v/>
      </c>
      <c r="Z24" s="30">
        <f>IF(OR(T24="",T24=0),"",W24/T24)</f>
        <v/>
      </c>
      <c r="AA24" s="30">
        <f>IF(OR(U24="",U24=0),"",X24/U24)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WD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  <c r="R25" s="8" t="n"/>
      <c r="S25" s="28">
        <f>IF(M25="","",ROUND(M25*(1-IF($R25="",$U$6,$R25)),2))</f>
        <v/>
      </c>
      <c r="T25" s="28">
        <f>IF(N25="","",ROUND(N25*(1-IF($R25="",$U$6,$R25)),2))</f>
        <v/>
      </c>
      <c r="U25" s="28">
        <f>IF(O25="","",ROUND(O25*(1-IF($R25="",$U$6,$R25)),2))</f>
        <v/>
      </c>
      <c r="V25" s="27">
        <f>IF(S25="","",S25-J25)</f>
        <v/>
      </c>
      <c r="W25" s="27">
        <f>IF(T25="","",T25-K25)</f>
        <v/>
      </c>
      <c r="X25" s="27">
        <f>IF(U25="","",U25-L25)</f>
        <v/>
      </c>
      <c r="Y25" s="30">
        <f>IF(OR(S25="",S25=0),"",V25/S25)</f>
        <v/>
      </c>
      <c r="Z25" s="30">
        <f>IF(OR(T25="",T25=0),"",W25/T25)</f>
        <v/>
      </c>
      <c r="AA25" s="30">
        <f>IF(OR(U25="",U25=0),"",X25/U25)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WD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  <c r="R26" s="8" t="n"/>
      <c r="S26" s="28">
        <f>IF(M26="","",ROUND(M26*(1-IF($R26="",$U$6,$R26)),2))</f>
        <v/>
      </c>
      <c r="T26" s="28">
        <f>IF(N26="","",ROUND(N26*(1-IF($R26="",$U$6,$R26)),2))</f>
        <v/>
      </c>
      <c r="U26" s="28">
        <f>IF(O26="","",ROUND(O26*(1-IF($R26="",$U$6,$R26)),2))</f>
        <v/>
      </c>
      <c r="V26" s="27">
        <f>IF(S26="","",S26-J26)</f>
        <v/>
      </c>
      <c r="W26" s="27">
        <f>IF(T26="","",T26-K26)</f>
        <v/>
      </c>
      <c r="X26" s="27">
        <f>IF(U26="","",U26-L26)</f>
        <v/>
      </c>
      <c r="Y26" s="30">
        <f>IF(OR(S26="",S26=0),"",V26/S26)</f>
        <v/>
      </c>
      <c r="Z26" s="30">
        <f>IF(OR(T26="",T26=0),"",W26/T26)</f>
        <v/>
      </c>
      <c r="AA26" s="30">
        <f>IF(OR(U26="",U26=0),"",X26/U26)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WD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  <c r="R27" s="8" t="n"/>
      <c r="S27" s="28">
        <f>IF(M27="","",ROUND(M27*(1-IF($R27="",$U$6,$R27)),2))</f>
        <v/>
      </c>
      <c r="T27" s="28">
        <f>IF(N27="","",ROUND(N27*(1-IF($R27="",$U$6,$R27)),2))</f>
        <v/>
      </c>
      <c r="U27" s="28">
        <f>IF(O27="","",ROUND(O27*(1-IF($R27="",$U$6,$R27)),2))</f>
        <v/>
      </c>
      <c r="V27" s="27">
        <f>IF(S27="","",S27-J27)</f>
        <v/>
      </c>
      <c r="W27" s="27">
        <f>IF(T27="","",T27-K27)</f>
        <v/>
      </c>
      <c r="X27" s="27">
        <f>IF(U27="","",U27-L27)</f>
        <v/>
      </c>
      <c r="Y27" s="30">
        <f>IF(OR(S27="",S27=0),"",V27/S27)</f>
        <v/>
      </c>
      <c r="Z27" s="30">
        <f>IF(OR(T27="",T27=0),"",W27/T27)</f>
        <v/>
      </c>
      <c r="AA27" s="30">
        <f>IF(OR(U27="",U27=0),"",X27/U27)</f>
        <v/>
      </c>
    </row>
    <row r="28"/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WD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  <c r="R29" s="8" t="n"/>
      <c r="S29" s="28">
        <f>IF(M29="","",ROUND(M29*(1-IF($R29="",$U$6,$R29)),2))</f>
        <v/>
      </c>
      <c r="T29" s="28">
        <f>IF(N29="","",ROUND(N29*(1-IF($R29="",$U$6,$R29)),2))</f>
        <v/>
      </c>
      <c r="U29" s="28">
        <f>IF(O29="","",ROUND(O29*(1-IF($R29="",$U$6,$R29)),2))</f>
        <v/>
      </c>
      <c r="V29" s="27">
        <f>IF(S29="","",S29-J29)</f>
        <v/>
      </c>
      <c r="W29" s="27">
        <f>IF(T29="","",T29-K29)</f>
        <v/>
      </c>
      <c r="X29" s="27">
        <f>IF(U29="","",U29-L29)</f>
        <v/>
      </c>
      <c r="Y29" s="30">
        <f>IF(OR(S29="",S29=0),"",V29/S29)</f>
        <v/>
      </c>
      <c r="Z29" s="30">
        <f>IF(OR(T29="",T29=0),"",W29/T29)</f>
        <v/>
      </c>
      <c r="AA29" s="30">
        <f>IF(OR(U29="",U29=0),"",X29/U29)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WD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  <c r="R30" s="8" t="n"/>
      <c r="S30" s="28">
        <f>IF(M30="","",ROUND(M30*(1-IF($R30="",$U$6,$R30)),2))</f>
        <v/>
      </c>
      <c r="T30" s="28">
        <f>IF(N30="","",ROUND(N30*(1-IF($R30="",$U$6,$R30)),2))</f>
        <v/>
      </c>
      <c r="U30" s="28">
        <f>IF(O30="","",ROUND(O30*(1-IF($R30="",$U$6,$R30)),2))</f>
        <v/>
      </c>
      <c r="V30" s="27">
        <f>IF(S30="","",S30-J30)</f>
        <v/>
      </c>
      <c r="W30" s="27">
        <f>IF(T30="","",T30-K30)</f>
        <v/>
      </c>
      <c r="X30" s="27">
        <f>IF(U30="","",U30-L30)</f>
        <v/>
      </c>
      <c r="Y30" s="30">
        <f>IF(OR(S30="",S30=0),"",V30/S30)</f>
        <v/>
      </c>
      <c r="Z30" s="30">
        <f>IF(OR(T30="",T30=0),"",W30/T30)</f>
        <v/>
      </c>
      <c r="AA30" s="30">
        <f>IF(OR(U30="",U30=0),"",X30/U30)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WD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  <c r="R31" s="8" t="n"/>
      <c r="S31" s="28">
        <f>IF(M31="","",ROUND(M31*(1-IF($R31="",$U$6,$R31)),2))</f>
        <v/>
      </c>
      <c r="T31" s="28">
        <f>IF(N31="","",ROUND(N31*(1-IF($R31="",$U$6,$R31)),2))</f>
        <v/>
      </c>
      <c r="U31" s="28">
        <f>IF(O31="","",ROUND(O31*(1-IF($R31="",$U$6,$R31)),2))</f>
        <v/>
      </c>
      <c r="V31" s="27">
        <f>IF(S31="","",S31-J31)</f>
        <v/>
      </c>
      <c r="W31" s="27">
        <f>IF(T31="","",T31-K31)</f>
        <v/>
      </c>
      <c r="X31" s="27">
        <f>IF(U31="","",U31-L31)</f>
        <v/>
      </c>
      <c r="Y31" s="30">
        <f>IF(OR(S31="",S31=0),"",V31/S31)</f>
        <v/>
      </c>
      <c r="Z31" s="30">
        <f>IF(OR(T31="",T31=0),"",W31/T31)</f>
        <v/>
      </c>
      <c r="AA31" s="30">
        <f>IF(OR(U31="",U31=0),"",X31/U31)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WD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  <c r="R32" s="8" t="n"/>
      <c r="S32" s="28">
        <f>IF(M32="","",ROUND(M32*(1-IF($R32="",$U$6,$R32)),2))</f>
        <v/>
      </c>
      <c r="T32" s="28">
        <f>IF(N32="","",ROUND(N32*(1-IF($R32="",$U$6,$R32)),2))</f>
        <v/>
      </c>
      <c r="U32" s="28">
        <f>IF(O32="","",ROUND(O32*(1-IF($R32="",$U$6,$R32)),2))</f>
        <v/>
      </c>
      <c r="V32" s="27">
        <f>IF(S32="","",S32-J32)</f>
        <v/>
      </c>
      <c r="W32" s="27">
        <f>IF(T32="","",T32-K32)</f>
        <v/>
      </c>
      <c r="X32" s="27">
        <f>IF(U32="","",U32-L32)</f>
        <v/>
      </c>
      <c r="Y32" s="30">
        <f>IF(OR(S32="",S32=0),"",V32/S32)</f>
        <v/>
      </c>
      <c r="Z32" s="30">
        <f>IF(OR(T32="",T32=0),"",W32/T32)</f>
        <v/>
      </c>
      <c r="AA32" s="30">
        <f>IF(OR(U32="",U32=0),"",X32/U32)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WD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  <c r="R33" s="8" t="n"/>
      <c r="S33" s="28">
        <f>IF(M33="","",ROUND(M33*(1-IF($R33="",$U$6,$R33)),2))</f>
        <v/>
      </c>
      <c r="T33" s="28">
        <f>IF(N33="","",ROUND(N33*(1-IF($R33="",$U$6,$R33)),2))</f>
        <v/>
      </c>
      <c r="U33" s="28">
        <f>IF(O33="","",ROUND(O33*(1-IF($R33="",$U$6,$R33)),2))</f>
        <v/>
      </c>
      <c r="V33" s="27">
        <f>IF(S33="","",S33-J33)</f>
        <v/>
      </c>
      <c r="W33" s="27">
        <f>IF(T33="","",T33-K33)</f>
        <v/>
      </c>
      <c r="X33" s="27">
        <f>IF(U33="","",U33-L33)</f>
        <v/>
      </c>
      <c r="Y33" s="30">
        <f>IF(OR(S33="",S33=0),"",V33/S33)</f>
        <v/>
      </c>
      <c r="Z33" s="30">
        <f>IF(OR(T33="",T33=0),"",W33/T33)</f>
        <v/>
      </c>
      <c r="AA33" s="30">
        <f>IF(OR(U33="",U33=0),"",X33/U33)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WD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  <c r="R34" s="8" t="n"/>
      <c r="S34" s="28">
        <f>IF(M34="","",ROUND(M34*(1-IF($R34="",$U$6,$R34)),2))</f>
        <v/>
      </c>
      <c r="T34" s="28">
        <f>IF(N34="","",ROUND(N34*(1-IF($R34="",$U$6,$R34)),2))</f>
        <v/>
      </c>
      <c r="U34" s="28">
        <f>IF(O34="","",ROUND(O34*(1-IF($R34="",$U$6,$R34)),2))</f>
        <v/>
      </c>
      <c r="V34" s="27">
        <f>IF(S34="","",S34-J34)</f>
        <v/>
      </c>
      <c r="W34" s="27">
        <f>IF(T34="","",T34-K34)</f>
        <v/>
      </c>
      <c r="X34" s="27">
        <f>IF(U34="","",U34-L34)</f>
        <v/>
      </c>
      <c r="Y34" s="30">
        <f>IF(OR(S34="",S34=0),"",V34/S34)</f>
        <v/>
      </c>
      <c r="Z34" s="30">
        <f>IF(OR(T34="",T34=0),"",W34/T34)</f>
        <v/>
      </c>
      <c r="AA34" s="30">
        <f>IF(OR(U34="",U34=0),"",X34/U34)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WD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  <c r="R35" s="8" t="n"/>
      <c r="S35" s="28">
        <f>IF(M35="","",ROUND(M35*(1-IF($R35="",$U$6,$R35)),2))</f>
        <v/>
      </c>
      <c r="T35" s="28">
        <f>IF(N35="","",ROUND(N35*(1-IF($R35="",$U$6,$R35)),2))</f>
        <v/>
      </c>
      <c r="U35" s="28">
        <f>IF(O35="","",ROUND(O35*(1-IF($R35="",$U$6,$R35)),2))</f>
        <v/>
      </c>
      <c r="V35" s="27">
        <f>IF(S35="","",S35-J35)</f>
        <v/>
      </c>
      <c r="W35" s="27">
        <f>IF(T35="","",T35-K35)</f>
        <v/>
      </c>
      <c r="X35" s="27">
        <f>IF(U35="","",U35-L35)</f>
        <v/>
      </c>
      <c r="Y35" s="30">
        <f>IF(OR(S35="",S35=0),"",V35/S35)</f>
        <v/>
      </c>
      <c r="Z35" s="30">
        <f>IF(OR(T35="",T35=0),"",W35/T35)</f>
        <v/>
      </c>
      <c r="AA35" s="30">
        <f>IF(OR(U35="",U35=0),"",X35/U35)</f>
        <v/>
      </c>
    </row>
    <row r="36"/>
    <row r="37">
      <c r="A37" s="19" t="inlineStr">
        <is>
          <t>AKMN011-B</t>
        </is>
      </c>
      <c r="B37" s="20">
        <f>IFERROR(INDEX(Conversion!$C$2:$C$500,MATCH($A37,Conversion!$B$2:$B$500,0)),"NOT ASSIGNED")</f>
        <v/>
      </c>
      <c r="C37" s="21" t="inlineStr">
        <is>
          <t>Blue King superior brass water gun without trigger protection, blue</t>
        </is>
      </c>
      <c r="D37" s="22" t="inlineStr">
        <is>
          <t>Blue King WD gun, w/o trigger guard, blue, brass</t>
        </is>
      </c>
      <c r="E37" s="23" t="n">
        <v>0.706</v>
      </c>
      <c r="F37" s="24" t="inlineStr">
        <is>
          <t>Cat p.6</t>
        </is>
      </c>
      <c r="G37" s="25" t="n">
        <v>27.006012</v>
      </c>
      <c r="H37" s="25" t="n">
        <v>24.005344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  <c r="R37" s="8" t="n"/>
      <c r="S37" s="28">
        <f>IF(M37="","",ROUND(M37*(1-IF($R37="",$U$6,$R37)),2))</f>
        <v/>
      </c>
      <c r="T37" s="28">
        <f>IF(N37="","",ROUND(N37*(1-IF($R37="",$U$6,$R37)),2))</f>
        <v/>
      </c>
      <c r="U37" s="28">
        <f>IF(O37="","",ROUND(O37*(1-IF($R37="",$U$6,$R37)),2))</f>
        <v/>
      </c>
      <c r="V37" s="27">
        <f>IF(S37="","",S37-J37)</f>
        <v/>
      </c>
      <c r="W37" s="27">
        <f>IF(T37="","",T37-K37)</f>
        <v/>
      </c>
      <c r="X37" s="27">
        <f>IF(U37="","",U37-L37)</f>
        <v/>
      </c>
      <c r="Y37" s="30">
        <f>IF(OR(S37="",S37=0),"",V37/S37)</f>
        <v/>
      </c>
      <c r="Z37" s="30">
        <f>IF(OR(T37="",T37=0),"",W37/T37)</f>
        <v/>
      </c>
      <c r="AA37" s="30">
        <f>IF(OR(U37="",U37=0),"",X37/U37)</f>
        <v/>
      </c>
    </row>
    <row r="38">
      <c r="A38" s="19" t="inlineStr">
        <is>
          <t>AKMN011-B-KING</t>
        </is>
      </c>
      <c r="B38" s="20">
        <f>IFERROR(INDEX(Conversion!$C$2:$C$500,MATCH($A38,Conversion!$B$2:$B$500,0)),"NOT ASSIGNED")</f>
        <v/>
      </c>
      <c r="C38" s="21" t="inlineStr">
        <is>
          <t>Blue King superior brass water gun without trigger protection, blue with KING logo</t>
        </is>
      </c>
      <c r="D38" s="22" t="inlineStr">
        <is>
          <t>Blue King WD gun, w/o trigger guard, KING logo, blue, brass</t>
        </is>
      </c>
      <c r="E38" s="23" t="n">
        <v>0.706</v>
      </c>
      <c r="F38" s="24" t="inlineStr">
        <is>
          <t>Cat p.6 - same gun as AKMN011-B, logo only</t>
        </is>
      </c>
      <c r="G38" s="25" t="n">
        <v>27.108378</v>
      </c>
      <c r="H38" s="25" t="n">
        <v>24.096336</v>
      </c>
      <c r="I38" s="26" t="n"/>
      <c r="J38" s="27">
        <f>IF(G38="","",G38/$C$5*(1+$C$8)+$E38*(1+$C$7)*$C$6)</f>
        <v/>
      </c>
      <c r="K38" s="27">
        <f>IF(H38="","",H38/$C$5*(1+$C$8)+$E38*(1+$C$7)*$C$6)</f>
        <v/>
      </c>
      <c r="L38" s="27">
        <f>IF(I38="","",I38/$C$5*(1+$C$8)+$E38*(1+$C$7)*$C$6)</f>
        <v/>
      </c>
      <c r="M38" s="28">
        <f>IF(J38="","",ROUND(J38*(1+$C$9),2))</f>
        <v/>
      </c>
      <c r="N38" s="28">
        <f>IF(K38="","",ROUND(K38*(1+$C$9),2))</f>
        <v/>
      </c>
      <c r="O38" s="28">
        <f>IF(L38="","",ROUND(L38*(1+$C$9),2))</f>
        <v/>
      </c>
      <c r="P38" s="29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  <c r="R38" s="8" t="n"/>
      <c r="S38" s="28">
        <f>IF(M38="","",ROUND(M38*(1-IF($R38="",$U$6,$R38)),2))</f>
        <v/>
      </c>
      <c r="T38" s="28">
        <f>IF(N38="","",ROUND(N38*(1-IF($R38="",$U$6,$R38)),2))</f>
        <v/>
      </c>
      <c r="U38" s="28">
        <f>IF(O38="","",ROUND(O38*(1-IF($R38="",$U$6,$R38)),2))</f>
        <v/>
      </c>
      <c r="V38" s="27">
        <f>IF(S38="","",S38-J38)</f>
        <v/>
      </c>
      <c r="W38" s="27">
        <f>IF(T38="","",T38-K38)</f>
        <v/>
      </c>
      <c r="X38" s="27">
        <f>IF(U38="","",U38-L38)</f>
        <v/>
      </c>
      <c r="Y38" s="30">
        <f>IF(OR(S38="",S38=0),"",V38/S38)</f>
        <v/>
      </c>
      <c r="Z38" s="30">
        <f>IF(OR(T38="",T38=0),"",W38/T38)</f>
        <v/>
      </c>
      <c r="AA38" s="30">
        <f>IF(OR(U38="",U38=0),"",X38/U38)</f>
        <v/>
      </c>
    </row>
    <row r="39">
      <c r="A39" s="19" t="inlineStr">
        <is>
          <t>AKMNP11-B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 trigger protection, blue</t>
        </is>
      </c>
      <c r="D39" s="22" t="inlineStr">
        <is>
          <t>Blue King WD gun, w/ trigger guard, blue, brass</t>
        </is>
      </c>
      <c r="E39" s="23" t="n">
        <v>0.88</v>
      </c>
      <c r="F39" s="24" t="inlineStr">
        <is>
          <t>Cat p.6</t>
        </is>
      </c>
      <c r="G39" s="25" t="n">
        <v>35.288352</v>
      </c>
      <c r="H39" s="25" t="n">
        <v>31.367424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  <c r="R39" s="8" t="n"/>
      <c r="S39" s="28">
        <f>IF(M39="","",ROUND(M39*(1-IF($R39="",$U$6,$R39)),2))</f>
        <v/>
      </c>
      <c r="T39" s="28">
        <f>IF(N39="","",ROUND(N39*(1-IF($R39="",$U$6,$R39)),2))</f>
        <v/>
      </c>
      <c r="U39" s="28">
        <f>IF(O39="","",ROUND(O39*(1-IF($R39="",$U$6,$R39)),2))</f>
        <v/>
      </c>
      <c r="V39" s="27">
        <f>IF(S39="","",S39-J39)</f>
        <v/>
      </c>
      <c r="W39" s="27">
        <f>IF(T39="","",T39-K39)</f>
        <v/>
      </c>
      <c r="X39" s="27">
        <f>IF(U39="","",U39-L39)</f>
        <v/>
      </c>
      <c r="Y39" s="30">
        <f>IF(OR(S39="",S39=0),"",V39/S39)</f>
        <v/>
      </c>
      <c r="Z39" s="30">
        <f>IF(OR(T39="",T39=0),"",W39/T39)</f>
        <v/>
      </c>
      <c r="AA39" s="30">
        <f>IF(OR(U39="",U39=0),"",X39/U39)</f>
        <v/>
      </c>
    </row>
    <row r="40">
      <c r="A40" s="19" t="inlineStr">
        <is>
          <t>AKMNP11-B-KING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 trigger protection, blue with KING logo</t>
        </is>
      </c>
      <c r="D40" s="22" t="inlineStr">
        <is>
          <t>Blue King WD gun, w/ trigger guard, KING logo, blue, brass</t>
        </is>
      </c>
      <c r="E40" s="23" t="n">
        <v>0.88</v>
      </c>
      <c r="F40" s="24" t="inlineStr">
        <is>
          <t>Cat p.6 - same gun as AKMNP11-B, logo only</t>
        </is>
      </c>
      <c r="G40" s="25" t="n">
        <v>35.390718</v>
      </c>
      <c r="H40" s="25" t="n">
        <v>31.458416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  <c r="R40" s="8" t="n"/>
      <c r="S40" s="28">
        <f>IF(M40="","",ROUND(M40*(1-IF($R40="",$U$6,$R40)),2))</f>
        <v/>
      </c>
      <c r="T40" s="28">
        <f>IF(N40="","",ROUND(N40*(1-IF($R40="",$U$6,$R40)),2))</f>
        <v/>
      </c>
      <c r="U40" s="28">
        <f>IF(O40="","",ROUND(O40*(1-IF($R40="",$U$6,$R40)),2))</f>
        <v/>
      </c>
      <c r="V40" s="27">
        <f>IF(S40="","",S40-J40)</f>
        <v/>
      </c>
      <c r="W40" s="27">
        <f>IF(T40="","",T40-K40)</f>
        <v/>
      </c>
      <c r="X40" s="27">
        <f>IF(U40="","",U40-L40)</f>
        <v/>
      </c>
      <c r="Y40" s="30">
        <f>IF(OR(S40="",S40=0),"",V40/S40)</f>
        <v/>
      </c>
      <c r="Z40" s="30">
        <f>IF(OR(T40="",T40=0),"",W40/T40)</f>
        <v/>
      </c>
      <c r="AA40" s="30">
        <f>IF(OR(U40="",U40=0),"",X40/U40)</f>
        <v/>
      </c>
    </row>
    <row r="41"/>
    <row r="42">
      <c r="A42" s="19" t="inlineStr">
        <is>
          <t>AKMB001-BL</t>
        </is>
      </c>
      <c r="B42" s="20">
        <f>IFERROR(INDEX(Conversion!$C$2:$C$500,MATCH($A42,Conversion!$B$2:$B$500,0)),"NOT ASSIGNED")</f>
        <v/>
      </c>
      <c r="C42" s="21" t="inlineStr">
        <is>
          <t>Brass water gun, big flow, black</t>
        </is>
      </c>
      <c r="D42" s="22" t="inlineStr">
        <is>
          <t>Classic High-Flow WD gun, w/o trigger guard, black, brass</t>
        </is>
      </c>
      <c r="E42" s="23" t="n">
        <v>0.84</v>
      </c>
      <c r="F42" s="24" t="inlineStr">
        <is>
          <t>Cat p.20</t>
        </is>
      </c>
      <c r="G42" s="25" t="n">
        <v>36.4485</v>
      </c>
      <c r="H42" s="25" t="n">
        <v>32.81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  <c r="R42" s="8" t="n"/>
      <c r="S42" s="28">
        <f>IF(M42="","",ROUND(M42*(1-IF($R42="",$U$6,$R42)),2))</f>
        <v/>
      </c>
      <c r="T42" s="28">
        <f>IF(N42="","",ROUND(N42*(1-IF($R42="",$U$6,$R42)),2))</f>
        <v/>
      </c>
      <c r="U42" s="28">
        <f>IF(O42="","",ROUND(O42*(1-IF($R42="",$U$6,$R42)),2))</f>
        <v/>
      </c>
      <c r="V42" s="27">
        <f>IF(S42="","",S42-J42)</f>
        <v/>
      </c>
      <c r="W42" s="27">
        <f>IF(T42="","",T42-K42)</f>
        <v/>
      </c>
      <c r="X42" s="27">
        <f>IF(U42="","",U42-L42)</f>
        <v/>
      </c>
      <c r="Y42" s="30">
        <f>IF(OR(S42="",S42=0),"",V42/S42)</f>
        <v/>
      </c>
      <c r="Z42" s="30">
        <f>IF(OR(T42="",T42=0),"",W42/T42)</f>
        <v/>
      </c>
      <c r="AA42" s="30">
        <f>IF(OR(U42="",U42=0),"",X42/U42)</f>
        <v/>
      </c>
    </row>
    <row r="43">
      <c r="A43" s="19" t="inlineStr">
        <is>
          <t>AKMBP01-BL</t>
        </is>
      </c>
      <c r="B43" s="20">
        <f>IFERROR(INDEX(Conversion!$C$2:$C$500,MATCH($A43,Conversion!$B$2:$B$500,0)),"NOT ASSIGNED")</f>
        <v/>
      </c>
      <c r="C43" s="21" t="inlineStr">
        <is>
          <t>Brass water gun, big flow, with trigger protection, black</t>
        </is>
      </c>
      <c r="D43" s="22" t="inlineStr">
        <is>
          <t>Classic High-Flow WD gun, w/ trigger guard, black, brass</t>
        </is>
      </c>
      <c r="E43" s="31" t="n">
        <v>1.036</v>
      </c>
      <c r="F43" s="24" t="inlineStr">
        <is>
          <t>ESTIMATE - not tabulated; AKMB001-BL + trigger guard (AKMN delta)</t>
        </is>
      </c>
      <c r="G43" s="25" t="n">
        <v>38.88874</v>
      </c>
      <c r="H43" s="25" t="n">
        <v>35</v>
      </c>
      <c r="I43" s="26" t="n"/>
      <c r="J43" s="27">
        <f>IF(G43="","",G43/$C$5*(1+$C$8)+$E43*(1+$C$7)*$C$6)</f>
        <v/>
      </c>
      <c r="K43" s="27">
        <f>IF(H43="","",H43/$C$5*(1+$C$8)+$E43*(1+$C$7)*$C$6)</f>
        <v/>
      </c>
      <c r="L43" s="27">
        <f>IF(I43="","",I43/$C$5*(1+$C$8)+$E43*(1+$C$7)*$C$6)</f>
        <v/>
      </c>
      <c r="M43" s="28">
        <f>IF(J43="","",ROUND(J43*(1+$C$9),2))</f>
        <v/>
      </c>
      <c r="N43" s="28">
        <f>IF(K43="","",ROUND(K43*(1+$C$9),2))</f>
        <v/>
      </c>
      <c r="O43" s="28">
        <f>IF(L43="","",ROUND(L43*(1+$C$9),2))</f>
        <v/>
      </c>
      <c r="P43" s="29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  <c r="R43" s="8" t="n"/>
      <c r="S43" s="28">
        <f>IF(M43="","",ROUND(M43*(1-IF($R43="",$U$6,$R43)),2))</f>
        <v/>
      </c>
      <c r="T43" s="28">
        <f>IF(N43="","",ROUND(N43*(1-IF($R43="",$U$6,$R43)),2))</f>
        <v/>
      </c>
      <c r="U43" s="28">
        <f>IF(O43="","",ROUND(O43*(1-IF($R43="",$U$6,$R43)),2))</f>
        <v/>
      </c>
      <c r="V43" s="27">
        <f>IF(S43="","",S43-J43)</f>
        <v/>
      </c>
      <c r="W43" s="27">
        <f>IF(T43="","",T43-K43)</f>
        <v/>
      </c>
      <c r="X43" s="27">
        <f>IF(U43="","",U43-L43)</f>
        <v/>
      </c>
      <c r="Y43" s="30">
        <f>IF(OR(S43="",S43=0),"",V43/S43)</f>
        <v/>
      </c>
      <c r="Z43" s="30">
        <f>IF(OR(T43="",T43=0),"",W43/T43)</f>
        <v/>
      </c>
      <c r="AA43" s="30">
        <f>IF(OR(U43="",U43=0),"",X43/U43)</f>
        <v/>
      </c>
    </row>
    <row r="44">
      <c r="A44" s="19" t="inlineStr">
        <is>
          <t>AKRB001-BL</t>
        </is>
      </c>
      <c r="B44" s="20">
        <f>IFERROR(INDEX(Conversion!$C$2:$C$500,MATCH($A44,Conversion!$B$2:$B$500,0)),"NOT ASSIGNED")</f>
        <v/>
      </c>
      <c r="C44" s="21" t="inlineStr">
        <is>
          <t>Stainless steel water gun, high flow, black</t>
        </is>
      </c>
      <c r="D44" s="22" t="inlineStr">
        <is>
          <t>Classic High-Flow WD gun, w/o trigger guard, black, stainless steel 316</t>
        </is>
      </c>
      <c r="E44" s="31" t="n">
        <v>0.84</v>
      </c>
      <c r="F44" s="24" t="inlineStr">
        <is>
          <t>ESTIMATE - not tabulated; taken as AKMB001-BL</t>
        </is>
      </c>
      <c r="G44" s="25" t="n">
        <v>84.8</v>
      </c>
      <c r="H44" s="25" t="n">
        <v>75.38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  <c r="R44" s="8" t="n"/>
      <c r="S44" s="28">
        <f>IF(M44="","",ROUND(M44*(1-IF($R44="",$U$6,$R44)),2))</f>
        <v/>
      </c>
      <c r="T44" s="28">
        <f>IF(N44="","",ROUND(N44*(1-IF($R44="",$U$6,$R44)),2))</f>
        <v/>
      </c>
      <c r="U44" s="28">
        <f>IF(O44="","",ROUND(O44*(1-IF($R44="",$U$6,$R44)),2))</f>
        <v/>
      </c>
      <c r="V44" s="27">
        <f>IF(S44="","",S44-J44)</f>
        <v/>
      </c>
      <c r="W44" s="27">
        <f>IF(T44="","",T44-K44)</f>
        <v/>
      </c>
      <c r="X44" s="27">
        <f>IF(U44="","",U44-L44)</f>
        <v/>
      </c>
      <c r="Y44" s="30">
        <f>IF(OR(S44="",S44=0),"",V44/S44)</f>
        <v/>
      </c>
      <c r="Z44" s="30">
        <f>IF(OR(T44="",T44=0),"",W44/T44)</f>
        <v/>
      </c>
      <c r="AA44" s="30">
        <f>IF(OR(U44="",U44=0),"",X44/U44)</f>
        <v/>
      </c>
    </row>
    <row r="45"/>
    <row r="46">
      <c r="A46" s="19" t="inlineStr">
        <is>
          <t>AKCN001-B</t>
        </is>
      </c>
      <c r="B46" s="20">
        <f>IFERROR(INDEX(Conversion!$C$2:$C$500,MATCH($A46,Conversion!$B$2:$B$500,0)),"NOT ASSIGNED")</f>
        <v/>
      </c>
      <c r="C46" s="21" t="inlineStr">
        <is>
          <t>Chrome plated brass water gun, blue</t>
        </is>
      </c>
      <c r="D46" s="22" t="inlineStr">
        <is>
          <t>Classic Protection Plus WD gun, w/o trigger guard, blue, chrome-plated brass</t>
        </is>
      </c>
      <c r="E46" s="23" t="n">
        <v>0.867</v>
      </c>
      <c r="F46" s="24" t="inlineStr">
        <is>
          <t>Cat p.13</t>
        </is>
      </c>
      <c r="G46" s="25" t="n">
        <v>36.69</v>
      </c>
      <c r="H46" s="25" t="n">
        <v>32.62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  <c r="R46" s="8" t="n"/>
      <c r="S46" s="28">
        <f>IF(M46="","",ROUND(M46*(1-IF($R46="",$U$6,$R46)),2))</f>
        <v/>
      </c>
      <c r="T46" s="28">
        <f>IF(N46="","",ROUND(N46*(1-IF($R46="",$U$6,$R46)),2))</f>
        <v/>
      </c>
      <c r="U46" s="28">
        <f>IF(O46="","",ROUND(O46*(1-IF($R46="",$U$6,$R46)),2))</f>
        <v/>
      </c>
      <c r="V46" s="27">
        <f>IF(S46="","",S46-J46)</f>
        <v/>
      </c>
      <c r="W46" s="27">
        <f>IF(T46="","",T46-K46)</f>
        <v/>
      </c>
      <c r="X46" s="27">
        <f>IF(U46="","",U46-L46)</f>
        <v/>
      </c>
      <c r="Y46" s="30">
        <f>IF(OR(S46="",S46=0),"",V46/S46)</f>
        <v/>
      </c>
      <c r="Z46" s="30">
        <f>IF(OR(T46="",T46=0),"",W46/T46)</f>
        <v/>
      </c>
      <c r="AA46" s="30">
        <f>IF(OR(U46="",U46=0),"",X46/U46)</f>
        <v/>
      </c>
    </row>
    <row r="47">
      <c r="A47" s="19" t="inlineStr">
        <is>
          <t>AKCNP01-B</t>
        </is>
      </c>
      <c r="B47" s="20">
        <f>IFERROR(INDEX(Conversion!$C$2:$C$500,MATCH($A47,Conversion!$B$2:$B$500,0)),"NOT ASSIGNED")</f>
        <v/>
      </c>
      <c r="C47" s="21" t="inlineStr">
        <is>
          <t>Chrome plated brass water gun, with trigger protection, blue</t>
        </is>
      </c>
      <c r="D47" s="22" t="inlineStr">
        <is>
          <t>Classic Protection Plus WD gun, w/ trigger guard, blue, chrome-plated brass</t>
        </is>
      </c>
      <c r="E47" s="23" t="n">
        <v>1.016</v>
      </c>
      <c r="F47" s="24" t="inlineStr">
        <is>
          <t>Cat p.13</t>
        </is>
      </c>
      <c r="G47" s="25" t="n">
        <v>38.93</v>
      </c>
      <c r="H47" s="25" t="n">
        <v>34.6</v>
      </c>
      <c r="I47" s="26" t="n"/>
      <c r="J47" s="27">
        <f>IF(G47="","",G47/$C$5*(1+$C$8)+$E47*(1+$C$7)*$C$6)</f>
        <v/>
      </c>
      <c r="K47" s="27">
        <f>IF(H47="","",H47/$C$5*(1+$C$8)+$E47*(1+$C$7)*$C$6)</f>
        <v/>
      </c>
      <c r="L47" s="27">
        <f>IF(I47="","",I47/$C$5*(1+$C$8)+$E47*(1+$C$7)*$C$6)</f>
        <v/>
      </c>
      <c r="M47" s="28">
        <f>IF(J47="","",ROUND(J47*(1+$C$9),2))</f>
        <v/>
      </c>
      <c r="N47" s="28">
        <f>IF(K47="","",ROUND(K47*(1+$C$9),2))</f>
        <v/>
      </c>
      <c r="O47" s="28">
        <f>IF(L47="","",ROUND(L47*(1+$C$9),2))</f>
        <v/>
      </c>
      <c r="P47" s="29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  <c r="R47" s="8" t="n"/>
      <c r="S47" s="28">
        <f>IF(M47="","",ROUND(M47*(1-IF($R47="",$U$6,$R47)),2))</f>
        <v/>
      </c>
      <c r="T47" s="28">
        <f>IF(N47="","",ROUND(N47*(1-IF($R47="",$U$6,$R47)),2))</f>
        <v/>
      </c>
      <c r="U47" s="28">
        <f>IF(O47="","",ROUND(O47*(1-IF($R47="",$U$6,$R47)),2))</f>
        <v/>
      </c>
      <c r="V47" s="27">
        <f>IF(S47="","",S47-J47)</f>
        <v/>
      </c>
      <c r="W47" s="27">
        <f>IF(T47="","",T47-K47)</f>
        <v/>
      </c>
      <c r="X47" s="27">
        <f>IF(U47="","",U47-L47)</f>
        <v/>
      </c>
      <c r="Y47" s="30">
        <f>IF(OR(S47="",S47=0),"",V47/S47)</f>
        <v/>
      </c>
      <c r="Z47" s="30">
        <f>IF(OR(T47="",T47=0),"",W47/T47)</f>
        <v/>
      </c>
      <c r="AA47" s="30">
        <f>IF(OR(U47="",U47=0),"",X47/U47)</f>
        <v/>
      </c>
    </row>
    <row r="48">
      <c r="A48" s="19" t="inlineStr">
        <is>
          <t>AKCNP01-W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with trigger protection, white</t>
        </is>
      </c>
      <c r="D48" s="22" t="inlineStr">
        <is>
          <t>Classic Protection Plus WD gun, w/ trigger guard, white, chrome-plated brass</t>
        </is>
      </c>
      <c r="E48" s="23" t="n">
        <v>1.016</v>
      </c>
      <c r="F48" s="24" t="inlineStr">
        <is>
          <t>Cat p.13</t>
        </is>
      </c>
      <c r="G48" s="25" t="n">
        <v>38.93</v>
      </c>
      <c r="H48" s="25" t="n">
        <v>34.6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  <c r="R48" s="8" t="n"/>
      <c r="S48" s="28">
        <f>IF(M48="","",ROUND(M48*(1-IF($R48="",$U$6,$R48)),2))</f>
        <v/>
      </c>
      <c r="T48" s="28">
        <f>IF(N48="","",ROUND(N48*(1-IF($R48="",$U$6,$R48)),2))</f>
        <v/>
      </c>
      <c r="U48" s="28">
        <f>IF(O48="","",ROUND(O48*(1-IF($R48="",$U$6,$R48)),2))</f>
        <v/>
      </c>
      <c r="V48" s="27">
        <f>IF(S48="","",S48-J48)</f>
        <v/>
      </c>
      <c r="W48" s="27">
        <f>IF(T48="","",T48-K48)</f>
        <v/>
      </c>
      <c r="X48" s="27">
        <f>IF(U48="","",U48-L48)</f>
        <v/>
      </c>
      <c r="Y48" s="30">
        <f>IF(OR(S48="",S48=0),"",V48/S48)</f>
        <v/>
      </c>
      <c r="Z48" s="30">
        <f>IF(OR(T48="",T48=0),"",W48/T48)</f>
        <v/>
      </c>
      <c r="AA48" s="30">
        <f>IF(OR(U48="",U48=0),"",X48/U48)</f>
        <v/>
      </c>
    </row>
    <row r="49"/>
    <row r="50">
      <c r="A50" s="19" t="inlineStr">
        <is>
          <t>BRFT003-B</t>
        </is>
      </c>
      <c r="B50" s="20">
        <f>IFERROR(INDEX(Conversion!$C$2:$C$500,MATCH($A50,Conversion!$B$2:$B$500,0)),"NOT ASSIGNED")</f>
        <v/>
      </c>
      <c r="C50" s="21" t="inlineStr">
        <is>
          <t>Blue Princess economic stainless steel water gun, blue</t>
        </is>
      </c>
      <c r="D50" s="22" t="inlineStr">
        <is>
          <t>Blue Princess WD gun, w/o trigger guard, blue, stainless steel 316</t>
        </is>
      </c>
      <c r="E50" s="23" t="n">
        <v>0.48</v>
      </c>
      <c r="F50" s="24" t="inlineStr">
        <is>
          <t>Cat p.C</t>
        </is>
      </c>
      <c r="G50" s="25" t="n">
        <v>55.165968</v>
      </c>
      <c r="H50" s="25" t="n">
        <v>49.036416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  <c r="R50" s="8" t="n"/>
      <c r="S50" s="28">
        <f>IF(M50="","",ROUND(M50*(1-IF($R50="",$U$6,$R50)),2))</f>
        <v/>
      </c>
      <c r="T50" s="28">
        <f>IF(N50="","",ROUND(N50*(1-IF($R50="",$U$6,$R50)),2))</f>
        <v/>
      </c>
      <c r="U50" s="28">
        <f>IF(O50="","",ROUND(O50*(1-IF($R50="",$U$6,$R50)),2))</f>
        <v/>
      </c>
      <c r="V50" s="27">
        <f>IF(S50="","",S50-J50)</f>
        <v/>
      </c>
      <c r="W50" s="27">
        <f>IF(T50="","",T50-K50)</f>
        <v/>
      </c>
      <c r="X50" s="27">
        <f>IF(U50="","",U50-L50)</f>
        <v/>
      </c>
      <c r="Y50" s="30">
        <f>IF(OR(S50="",S50=0),"",V50/S50)</f>
        <v/>
      </c>
      <c r="Z50" s="30">
        <f>IF(OR(T50="",T50=0),"",W50/T50)</f>
        <v/>
      </c>
      <c r="AA50" s="30">
        <f>IF(OR(U50="",U50=0),"",X50/U50)</f>
        <v/>
      </c>
    </row>
    <row r="51">
      <c r="A51" s="19" t="inlineStr">
        <is>
          <t>BRFT003-B-PRIN</t>
        </is>
      </c>
      <c r="B51" s="20">
        <f>IFERROR(INDEX(Conversion!$C$2:$C$500,MATCH($A51,Conversion!$B$2:$B$500,0)),"NOT ASSIGNED")</f>
        <v/>
      </c>
      <c r="C51" s="21" t="inlineStr">
        <is>
          <t>Blue Princess economic stainless steel water gun, blue with PRINCESS logo</t>
        </is>
      </c>
      <c r="D51" s="22" t="inlineStr">
        <is>
          <t>Blue Princess WD gun, w/o trigger guard, PRINCESS logo, blue, stainless steel 316</t>
        </is>
      </c>
      <c r="E51" s="23" t="n">
        <v>0.48</v>
      </c>
      <c r="F51" s="24" t="inlineStr">
        <is>
          <t>Cat p.C - same gun as BRFT003-B, logo only</t>
        </is>
      </c>
      <c r="G51" s="25" t="n">
        <v>55.212498</v>
      </c>
      <c r="H51" s="25" t="n">
        <v>49.077776</v>
      </c>
      <c r="I51" s="26" t="n"/>
      <c r="J51" s="27">
        <f>IF(G51="","",G51/$C$5*(1+$C$8)+$E51*(1+$C$7)*$C$6)</f>
        <v/>
      </c>
      <c r="K51" s="27">
        <f>IF(H51="","",H51/$C$5*(1+$C$8)+$E51*(1+$C$7)*$C$6)</f>
        <v/>
      </c>
      <c r="L51" s="27">
        <f>IF(I51="","",I51/$C$5*(1+$C$8)+$E51*(1+$C$7)*$C$6)</f>
        <v/>
      </c>
      <c r="M51" s="28">
        <f>IF(J51="","",ROUND(J51*(1+$C$9),2))</f>
        <v/>
      </c>
      <c r="N51" s="28">
        <f>IF(K51="","",ROUND(K51*(1+$C$9),2))</f>
        <v/>
      </c>
      <c r="O51" s="28">
        <f>IF(L51="","",ROUND(L51*(1+$C$9),2))</f>
        <v/>
      </c>
      <c r="P51" s="29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  <c r="R51" s="8" t="n"/>
      <c r="S51" s="28">
        <f>IF(M51="","",ROUND(M51*(1-IF($R51="",$U$6,$R51)),2))</f>
        <v/>
      </c>
      <c r="T51" s="28">
        <f>IF(N51="","",ROUND(N51*(1-IF($R51="",$U$6,$R51)),2))</f>
        <v/>
      </c>
      <c r="U51" s="28">
        <f>IF(O51="","",ROUND(O51*(1-IF($R51="",$U$6,$R51)),2))</f>
        <v/>
      </c>
      <c r="V51" s="27">
        <f>IF(S51="","",S51-J51)</f>
        <v/>
      </c>
      <c r="W51" s="27">
        <f>IF(T51="","",T51-K51)</f>
        <v/>
      </c>
      <c r="X51" s="27">
        <f>IF(U51="","",U51-L51)</f>
        <v/>
      </c>
      <c r="Y51" s="30">
        <f>IF(OR(S51="",S51=0),"",V51/S51)</f>
        <v/>
      </c>
      <c r="Z51" s="30">
        <f>IF(OR(T51="",T51=0),"",W51/T51)</f>
        <v/>
      </c>
      <c r="AA51" s="30">
        <f>IF(OR(U51="",U51=0),"",X51/U51)</f>
        <v/>
      </c>
    </row>
    <row r="52">
      <c r="A52" s="19" t="inlineStr">
        <is>
          <t>BRFTP03-B-PRIN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with trigger guard and insulation trigger, bue with Princess logo</t>
        </is>
      </c>
      <c r="D52" s="22" t="inlineStr">
        <is>
          <t>Blue Princess WD gun, w/ trigger guard, PRINCESS logo, blue, stainless steel 316</t>
        </is>
      </c>
      <c r="E52" s="23" t="n">
        <v>0.62</v>
      </c>
      <c r="F52" s="24" t="inlineStr">
        <is>
          <t>Cat p.C (catalogue code BRFTP13-B-PRIN)</t>
        </is>
      </c>
      <c r="G52" s="25" t="n">
        <v>71.127</v>
      </c>
      <c r="H52" s="25" t="n">
        <v>63.224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  <c r="R52" s="8" t="n"/>
      <c r="S52" s="28">
        <f>IF(M52="","",ROUND(M52*(1-IF($R52="",$U$6,$R52)),2))</f>
        <v/>
      </c>
      <c r="T52" s="28">
        <f>IF(N52="","",ROUND(N52*(1-IF($R52="",$U$6,$R52)),2))</f>
        <v/>
      </c>
      <c r="U52" s="28">
        <f>IF(O52="","",ROUND(O52*(1-IF($R52="",$U$6,$R52)),2))</f>
        <v/>
      </c>
      <c r="V52" s="27">
        <f>IF(S52="","",S52-J52)</f>
        <v/>
      </c>
      <c r="W52" s="27">
        <f>IF(T52="","",T52-K52)</f>
        <v/>
      </c>
      <c r="X52" s="27">
        <f>IF(U52="","",U52-L52)</f>
        <v/>
      </c>
      <c r="Y52" s="30">
        <f>IF(OR(S52="",S52=0),"",V52/S52)</f>
        <v/>
      </c>
      <c r="Z52" s="30">
        <f>IF(OR(T52="",T52=0),"",W52/T52)</f>
        <v/>
      </c>
      <c r="AA52" s="30">
        <f>IF(OR(U52="",U52=0),"",X52/U52)</f>
        <v/>
      </c>
    </row>
    <row r="53">
      <c r="A53" s="19" t="inlineStr">
        <is>
          <t>AKRN001-B</t>
        </is>
      </c>
      <c r="B53" s="20">
        <f>IFERROR(INDEX(Conversion!$C$2:$C$500,MATCH($A53,Conversion!$B$2:$B$500,0)),"NOT ASSIGNED")</f>
        <v/>
      </c>
      <c r="C53" s="21" t="inlineStr">
        <is>
          <t>St.st. water gun, blue</t>
        </is>
      </c>
      <c r="D53" s="22" t="inlineStr">
        <is>
          <t>Classic SS WD gun, w/o trigger guard, blue, stainless steel 316</t>
        </is>
      </c>
      <c r="E53" s="23" t="n">
        <v>0.8129999999999999</v>
      </c>
      <c r="F53" s="24" t="inlineStr">
        <is>
          <t>Cat p.15</t>
        </is>
      </c>
      <c r="G53" s="25" t="n">
        <v>80.06882400000001</v>
      </c>
      <c r="H53" s="25" t="n">
        <v>71.18000000000001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  <c r="R53" s="8" t="n"/>
      <c r="S53" s="28">
        <f>IF(M53="","",ROUND(M53*(1-IF($R53="",$U$6,$R53)),2))</f>
        <v/>
      </c>
      <c r="T53" s="28">
        <f>IF(N53="","",ROUND(N53*(1-IF($R53="",$U$6,$R53)),2))</f>
        <v/>
      </c>
      <c r="U53" s="28">
        <f>IF(O53="","",ROUND(O53*(1-IF($R53="",$U$6,$R53)),2))</f>
        <v/>
      </c>
      <c r="V53" s="27">
        <f>IF(S53="","",S53-J53)</f>
        <v/>
      </c>
      <c r="W53" s="27">
        <f>IF(T53="","",T53-K53)</f>
        <v/>
      </c>
      <c r="X53" s="27">
        <f>IF(U53="","",U53-L53)</f>
        <v/>
      </c>
      <c r="Y53" s="30">
        <f>IF(OR(S53="",S53=0),"",V53/S53)</f>
        <v/>
      </c>
      <c r="Z53" s="30">
        <f>IF(OR(T53="",T53=0),"",W53/T53)</f>
        <v/>
      </c>
      <c r="AA53" s="30">
        <f>IF(OR(U53="",U53=0),"",X53/U53)</f>
        <v/>
      </c>
    </row>
    <row r="54">
      <c r="A54" s="19" t="inlineStr">
        <is>
          <t>AKRN001-W</t>
        </is>
      </c>
      <c r="B54" s="20">
        <f>IFERROR(INDEX(Conversion!$C$2:$C$500,MATCH($A54,Conversion!$B$2:$B$500,0)),"NOT ASSIGNED")</f>
        <v/>
      </c>
      <c r="C54" s="21" t="inlineStr">
        <is>
          <t>St.st. water gun, white</t>
        </is>
      </c>
      <c r="D54" s="22" t="inlineStr">
        <is>
          <t>Classic SS WD gun, w/o trigger guard, white, stainless steel 316</t>
        </is>
      </c>
      <c r="E54" s="23" t="n">
        <v>0.8129999999999999</v>
      </c>
      <c r="F54" s="24" t="inlineStr">
        <is>
          <t>Cat p.15</t>
        </is>
      </c>
      <c r="G54" s="25" t="n">
        <v>80.06882400000001</v>
      </c>
      <c r="H54" s="25" t="n">
        <v>71.18000000000001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  <c r="R54" s="8" t="n"/>
      <c r="S54" s="28">
        <f>IF(M54="","",ROUND(M54*(1-IF($R54="",$U$6,$R54)),2))</f>
        <v/>
      </c>
      <c r="T54" s="28">
        <f>IF(N54="","",ROUND(N54*(1-IF($R54="",$U$6,$R54)),2))</f>
        <v/>
      </c>
      <c r="U54" s="28">
        <f>IF(O54="","",ROUND(O54*(1-IF($R54="",$U$6,$R54)),2))</f>
        <v/>
      </c>
      <c r="V54" s="27">
        <f>IF(S54="","",S54-J54)</f>
        <v/>
      </c>
      <c r="W54" s="27">
        <f>IF(T54="","",T54-K54)</f>
        <v/>
      </c>
      <c r="X54" s="27">
        <f>IF(U54="","",U54-L54)</f>
        <v/>
      </c>
      <c r="Y54" s="30">
        <f>IF(OR(S54="",S54=0),"",V54/S54)</f>
        <v/>
      </c>
      <c r="Z54" s="30">
        <f>IF(OR(T54="",T54=0),"",W54/T54)</f>
        <v/>
      </c>
      <c r="AA54" s="30">
        <f>IF(OR(U54="",U54=0),"",X54/U54)</f>
        <v/>
      </c>
    </row>
    <row r="55">
      <c r="A55" s="19" t="inlineStr">
        <is>
          <t>AKRNP01-B</t>
        </is>
      </c>
      <c r="B55" s="20">
        <f>IFERROR(INDEX(Conversion!$C$2:$C$500,MATCH($A55,Conversion!$B$2:$B$500,0)),"NOT ASSIGNED")</f>
        <v/>
      </c>
      <c r="C55" s="21" t="inlineStr">
        <is>
          <t>St.st. water gun, with trigger protection, blue</t>
        </is>
      </c>
      <c r="D55" s="22" t="inlineStr">
        <is>
          <t>Classic SS WD gun, w/ trigger guard, blue, stainless steel 316</t>
        </is>
      </c>
      <c r="E55" s="23" t="n">
        <v>0.983</v>
      </c>
      <c r="F55" s="24" t="inlineStr">
        <is>
          <t>Cat p.15</t>
        </is>
      </c>
      <c r="G55" s="25" t="n">
        <v>82.562832</v>
      </c>
      <c r="H55" s="25" t="n">
        <v>73.39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  <c r="R55" s="8" t="n"/>
      <c r="S55" s="28">
        <f>IF(M55="","",ROUND(M55*(1-IF($R55="",$U$6,$R55)),2))</f>
        <v/>
      </c>
      <c r="T55" s="28">
        <f>IF(N55="","",ROUND(N55*(1-IF($R55="",$U$6,$R55)),2))</f>
        <v/>
      </c>
      <c r="U55" s="28">
        <f>IF(O55="","",ROUND(O55*(1-IF($R55="",$U$6,$R55)),2))</f>
        <v/>
      </c>
      <c r="V55" s="27">
        <f>IF(S55="","",S55-J55)</f>
        <v/>
      </c>
      <c r="W55" s="27">
        <f>IF(T55="","",T55-K55)</f>
        <v/>
      </c>
      <c r="X55" s="27">
        <f>IF(U55="","",U55-L55)</f>
        <v/>
      </c>
      <c r="Y55" s="30">
        <f>IF(OR(S55="",S55=0),"",V55/S55)</f>
        <v/>
      </c>
      <c r="Z55" s="30">
        <f>IF(OR(T55="",T55=0),"",W55/T55)</f>
        <v/>
      </c>
      <c r="AA55" s="30">
        <f>IF(OR(U55="",U55=0),"",X55/U55)</f>
        <v/>
      </c>
    </row>
    <row r="56">
      <c r="A56" s="19" t="inlineStr">
        <is>
          <t>AKRNP01-W</t>
        </is>
      </c>
      <c r="B56" s="20">
        <f>IFERROR(INDEX(Conversion!$C$2:$C$500,MATCH($A56,Conversion!$B$2:$B$500,0)),"NOT ASSIGNED")</f>
        <v/>
      </c>
      <c r="C56" s="21" t="inlineStr">
        <is>
          <t>St.st. water gun, with trigger protection, white</t>
        </is>
      </c>
      <c r="D56" s="22" t="inlineStr">
        <is>
          <t>Classic SS WD gun, w/ trigger guard, white, stainless steel 316</t>
        </is>
      </c>
      <c r="E56" s="23" t="n">
        <v>0.983</v>
      </c>
      <c r="F56" s="24" t="inlineStr">
        <is>
          <t>Cat p.15</t>
        </is>
      </c>
      <c r="G56" s="25" t="n">
        <v>82.562832</v>
      </c>
      <c r="H56" s="25" t="n">
        <v>73.39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  <c r="R56" s="8" t="n"/>
      <c r="S56" s="28">
        <f>IF(M56="","",ROUND(M56*(1-IF($R56="",$U$6,$R56)),2))</f>
        <v/>
      </c>
      <c r="T56" s="28">
        <f>IF(N56="","",ROUND(N56*(1-IF($R56="",$U$6,$R56)),2))</f>
        <v/>
      </c>
      <c r="U56" s="28">
        <f>IF(O56="","",ROUND(O56*(1-IF($R56="",$U$6,$R56)),2))</f>
        <v/>
      </c>
      <c r="V56" s="27">
        <f>IF(S56="","",S56-J56)</f>
        <v/>
      </c>
      <c r="W56" s="27">
        <f>IF(T56="","",T56-K56)</f>
        <v/>
      </c>
      <c r="X56" s="27">
        <f>IF(U56="","",U56-L56)</f>
        <v/>
      </c>
      <c r="Y56" s="30">
        <f>IF(OR(S56="",S56=0),"",V56/S56)</f>
        <v/>
      </c>
      <c r="Z56" s="30">
        <f>IF(OR(T56="",T56=0),"",W56/T56)</f>
        <v/>
      </c>
      <c r="AA56" s="30">
        <f>IF(OR(U56="",U56=0),"",X56/U56)</f>
        <v/>
      </c>
    </row>
    <row r="57"/>
    <row r="58">
      <c r="A58" s="19" t="inlineStr">
        <is>
          <t>AKRHP01-R</t>
        </is>
      </c>
      <c r="B58" s="20">
        <f>IFERROR(INDEX(Conversion!$C$2:$C$500,MATCH($A58,Conversion!$B$2:$B$500,0)),"NOT ASSIGNED")</f>
        <v/>
      </c>
      <c r="C58" s="21" t="inlineStr">
        <is>
          <t>St.st. water gun with trigger protection, Teflon/air handgrip insulation, red</t>
        </is>
      </c>
      <c r="D58" s="22" t="inlineStr">
        <is>
          <t>Classic Hot Wash WD gun, w/ trigger guard, Teflon/air insulated grip, red, stainless steel 316</t>
        </is>
      </c>
      <c r="E58" s="23" t="n">
        <v>0.98</v>
      </c>
      <c r="F58" s="24" t="inlineStr">
        <is>
          <t>Cat p.22</t>
        </is>
      </c>
      <c r="G58" s="25" t="n">
        <v>91.747854</v>
      </c>
      <c r="H58" s="25" t="n">
        <v>81.55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  <c r="R58" s="8" t="n"/>
      <c r="S58" s="28">
        <f>IF(M58="","",ROUND(M58*(1-IF($R58="",$U$6,$R58)),2))</f>
        <v/>
      </c>
      <c r="T58" s="28">
        <f>IF(N58="","",ROUND(N58*(1-IF($R58="",$U$6,$R58)),2))</f>
        <v/>
      </c>
      <c r="U58" s="28">
        <f>IF(O58="","",ROUND(O58*(1-IF($R58="",$U$6,$R58)),2))</f>
        <v/>
      </c>
      <c r="V58" s="27">
        <f>IF(S58="","",S58-J58)</f>
        <v/>
      </c>
      <c r="W58" s="27">
        <f>IF(T58="","",T58-K58)</f>
        <v/>
      </c>
      <c r="X58" s="27">
        <f>IF(U58="","",U58-L58)</f>
        <v/>
      </c>
      <c r="Y58" s="30">
        <f>IF(OR(S58="",S58=0),"",V58/S58)</f>
        <v/>
      </c>
      <c r="Z58" s="30">
        <f>IF(OR(T58="",T58=0),"",W58/T58)</f>
        <v/>
      </c>
      <c r="AA58" s="30">
        <f>IF(OR(U58="",U58=0),"",X58/U58)</f>
        <v/>
      </c>
    </row>
    <row r="59">
      <c r="A59" s="19" t="inlineStr">
        <is>
          <t>AKRHPB1-R</t>
        </is>
      </c>
      <c r="B59" s="20">
        <f>IFERROR(INDEX(Conversion!$C$2:$C$500,MATCH($A59,Conversion!$B$2:$B$500,0)),"NOT ASSIGNED")</f>
        <v/>
      </c>
      <c r="C59" s="21" t="inlineStr">
        <is>
          <t>St.st. water gun, big flow, with trigger protection, Teflon/air handgrip insulation, red</t>
        </is>
      </c>
      <c r="D59" s="22" t="inlineStr">
        <is>
          <t>Classic Hot Wash WD gun, w/ trigger guard, high flow, Teflon/air insulated grip, red, stainless steel 316</t>
        </is>
      </c>
      <c r="E59" s="23" t="n">
        <v>0.98</v>
      </c>
      <c r="F59" s="24" t="inlineStr">
        <is>
          <t>Cat p.22</t>
        </is>
      </c>
      <c r="G59" s="25" t="n">
        <v>91.747854</v>
      </c>
      <c r="H59" s="25" t="n">
        <v>81.55</v>
      </c>
      <c r="I59" s="26" t="n"/>
      <c r="J59" s="27">
        <f>IF(G59="","",G59/$C$5*(1+$C$8)+$E59*(1+$C$7)*$C$6)</f>
        <v/>
      </c>
      <c r="K59" s="27">
        <f>IF(H59="","",H59/$C$5*(1+$C$8)+$E59*(1+$C$7)*$C$6)</f>
        <v/>
      </c>
      <c r="L59" s="27">
        <f>IF(I59="","",I59/$C$5*(1+$C$8)+$E59*(1+$C$7)*$C$6)</f>
        <v/>
      </c>
      <c r="M59" s="28">
        <f>IF(J59="","",ROUND(J59*(1+$C$9),2))</f>
        <v/>
      </c>
      <c r="N59" s="28">
        <f>IF(K59="","",ROUND(K59*(1+$C$9),2))</f>
        <v/>
      </c>
      <c r="O59" s="28">
        <f>IF(L59="","",ROUND(L59*(1+$C$9),2))</f>
        <v/>
      </c>
      <c r="P59" s="29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  <c r="R59" s="8" t="n"/>
      <c r="S59" s="28">
        <f>IF(M59="","",ROUND(M59*(1-IF($R59="",$U$6,$R59)),2))</f>
        <v/>
      </c>
      <c r="T59" s="28">
        <f>IF(N59="","",ROUND(N59*(1-IF($R59="",$U$6,$R59)),2))</f>
        <v/>
      </c>
      <c r="U59" s="28">
        <f>IF(O59="","",ROUND(O59*(1-IF($R59="",$U$6,$R59)),2))</f>
        <v/>
      </c>
      <c r="V59" s="27">
        <f>IF(S59="","",S59-J59)</f>
        <v/>
      </c>
      <c r="W59" s="27">
        <f>IF(T59="","",T59-K59)</f>
        <v/>
      </c>
      <c r="X59" s="27">
        <f>IF(U59="","",U59-L59)</f>
        <v/>
      </c>
      <c r="Y59" s="30">
        <f>IF(OR(S59="",S59=0),"",V59/S59)</f>
        <v/>
      </c>
      <c r="Z59" s="30">
        <f>IF(OR(T59="",T59=0),"",W59/T59)</f>
        <v/>
      </c>
      <c r="AA59" s="30">
        <f>IF(OR(U59="",U59=0),"",X59/U59)</f>
        <v/>
      </c>
    </row>
    <row r="60">
      <c r="A60" s="19" t="inlineStr">
        <is>
          <t>AKRHP02-R-L40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40cm lance, red</t>
        </is>
      </c>
      <c r="D60" s="22" t="inlineStr">
        <is>
          <t>Classic Hot Wash WD gun, w/ trigger guard, 40 cm lance, Teflon/air insulated grip, red, stainless steel 316</t>
        </is>
      </c>
      <c r="E60" s="23" t="n">
        <v>1.9</v>
      </c>
      <c r="F60" s="24" t="inlineStr">
        <is>
          <t>Cat p.22</t>
        </is>
      </c>
      <c r="G60" s="25" t="n">
        <v>143.191422</v>
      </c>
      <c r="H60" s="25" t="n">
        <v>127.28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  <c r="R60" s="8" t="n"/>
      <c r="S60" s="28">
        <f>IF(M60="","",ROUND(M60*(1-IF($R60="",$U$6,$R60)),2))</f>
        <v/>
      </c>
      <c r="T60" s="28">
        <f>IF(N60="","",ROUND(N60*(1-IF($R60="",$U$6,$R60)),2))</f>
        <v/>
      </c>
      <c r="U60" s="28">
        <f>IF(O60="","",ROUND(O60*(1-IF($R60="",$U$6,$R60)),2))</f>
        <v/>
      </c>
      <c r="V60" s="27">
        <f>IF(S60="","",S60-J60)</f>
        <v/>
      </c>
      <c r="W60" s="27">
        <f>IF(T60="","",T60-K60)</f>
        <v/>
      </c>
      <c r="X60" s="27">
        <f>IF(U60="","",U60-L60)</f>
        <v/>
      </c>
      <c r="Y60" s="30">
        <f>IF(OR(S60="",S60=0),"",V60/S60)</f>
        <v/>
      </c>
      <c r="Z60" s="30">
        <f>IF(OR(T60="",T60=0),"",W60/T60)</f>
        <v/>
      </c>
      <c r="AA60" s="30">
        <f>IF(OR(U60="",U60=0),"",X60/U60)</f>
        <v/>
      </c>
    </row>
    <row r="61"/>
    <row r="62">
      <c r="A62" s="19" t="inlineStr">
        <is>
          <t>AKRNP01-BL-EX</t>
        </is>
      </c>
      <c r="B62" s="20">
        <f>IFERROR(INDEX(Conversion!$C$2:$C$500,MATCH($A62,Conversion!$B$2:$B$500,0)),"NOT ASSIGNED")</f>
        <v/>
      </c>
      <c r="C62" s="21" t="inlineStr">
        <is>
          <t>St.st. water gun, with trigger protection, EX-covers, black</t>
        </is>
      </c>
      <c r="D62" s="22" t="inlineStr">
        <is>
          <t>Classic ATEX WD gun, w/ trigger guard, Zone 1 &amp; 2, black, stainless steel 316</t>
        </is>
      </c>
      <c r="E62" s="23" t="n">
        <v>0.957</v>
      </c>
      <c r="F62" s="24" t="inlineStr">
        <is>
          <t>Cat p.23</t>
        </is>
      </c>
      <c r="G62" s="25" t="n">
        <v>103.147704</v>
      </c>
      <c r="H62" s="25" t="n">
        <v>91.69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  <c r="R62" s="8" t="n"/>
      <c r="S62" s="28">
        <f>IF(M62="","",ROUND(M62*(1-IF($R62="",$U$6,$R62)),2))</f>
        <v/>
      </c>
      <c r="T62" s="28">
        <f>IF(N62="","",ROUND(N62*(1-IF($R62="",$U$6,$R62)),2))</f>
        <v/>
      </c>
      <c r="U62" s="28">
        <f>IF(O62="","",ROUND(O62*(1-IF($R62="",$U$6,$R62)),2))</f>
        <v/>
      </c>
      <c r="V62" s="27">
        <f>IF(S62="","",S62-J62)</f>
        <v/>
      </c>
      <c r="W62" s="27">
        <f>IF(T62="","",T62-K62)</f>
        <v/>
      </c>
      <c r="X62" s="27">
        <f>IF(U62="","",U62-L62)</f>
        <v/>
      </c>
      <c r="Y62" s="30">
        <f>IF(OR(S62="",S62=0),"",V62/S62)</f>
        <v/>
      </c>
      <c r="Z62" s="30">
        <f>IF(OR(T62="",T62=0),"",W62/T62)</f>
        <v/>
      </c>
      <c r="AA62" s="30">
        <f>IF(OR(U62="",U62=0),"",X62/U62)</f>
        <v/>
      </c>
    </row>
    <row r="63">
      <c r="A63" s="19" t="inlineStr">
        <is>
          <t>AKRN002-LB-LAT</t>
        </is>
      </c>
      <c r="B63" s="20">
        <f>IFERROR(INDEX(Conversion!$C$2:$C$500,MATCH($A63,Conversion!$B$2:$B$500,0)),"NOT ASSIGNED")</f>
        <v/>
      </c>
      <c r="C63" s="21" t="inlineStr">
        <is>
          <t>St.st. water gun with latex cover, light blue</t>
        </is>
      </c>
      <c r="D63" s="22" t="inlineStr">
        <is>
          <t>Classic SS Sterilisable WD gun, latex jacket, light blue, stainless steel 316</t>
        </is>
      </c>
      <c r="E63" s="23" t="n">
        <v>0.87</v>
      </c>
      <c r="F63" s="24" t="inlineStr">
        <is>
          <t>Cat p.24</t>
        </is>
      </c>
      <c r="G63" s="25" t="n">
        <v>114.55686</v>
      </c>
      <c r="H63" s="25" t="n">
        <v>101.83</v>
      </c>
      <c r="I63" s="26" t="n"/>
      <c r="J63" s="27">
        <f>IF(G63="","",G63/$C$5*(1+$C$8)+$E63*(1+$C$7)*$C$6)</f>
        <v/>
      </c>
      <c r="K63" s="27">
        <f>IF(H63="","",H63/$C$5*(1+$C$8)+$E63*(1+$C$7)*$C$6)</f>
        <v/>
      </c>
      <c r="L63" s="27">
        <f>IF(I63="","",I63/$C$5*(1+$C$8)+$E63*(1+$C$7)*$C$6)</f>
        <v/>
      </c>
      <c r="M63" s="28">
        <f>IF(J63="","",ROUND(J63*(1+$C$9),2))</f>
        <v/>
      </c>
      <c r="N63" s="28">
        <f>IF(K63="","",ROUND(K63*(1+$C$9),2))</f>
        <v/>
      </c>
      <c r="O63" s="28">
        <f>IF(L63="","",ROUND(L63*(1+$C$9),2))</f>
        <v/>
      </c>
      <c r="P63" s="29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  <c r="R63" s="8" t="n"/>
      <c r="S63" s="28">
        <f>IF(M63="","",ROUND(M63*(1-IF($R63="",$U$6,$R63)),2))</f>
        <v/>
      </c>
      <c r="T63" s="28">
        <f>IF(N63="","",ROUND(N63*(1-IF($R63="",$U$6,$R63)),2))</f>
        <v/>
      </c>
      <c r="U63" s="28">
        <f>IF(O63="","",ROUND(O63*(1-IF($R63="",$U$6,$R63)),2))</f>
        <v/>
      </c>
      <c r="V63" s="27">
        <f>IF(S63="","",S63-J63)</f>
        <v/>
      </c>
      <c r="W63" s="27">
        <f>IF(T63="","",T63-K63)</f>
        <v/>
      </c>
      <c r="X63" s="27">
        <f>IF(U63="","",U63-L63)</f>
        <v/>
      </c>
      <c r="Y63" s="30">
        <f>IF(OR(S63="",S63=0),"",V63/S63)</f>
        <v/>
      </c>
      <c r="Z63" s="30">
        <f>IF(OR(T63="",T63=0),"",W63/T63)</f>
        <v/>
      </c>
      <c r="AA63" s="30">
        <f>IF(OR(U63="",U63=0),"",X63/U63)</f>
        <v/>
      </c>
    </row>
    <row r="64"/>
    <row r="65">
      <c r="A65" s="19" t="inlineStr">
        <is>
          <t>AKRSV01-B</t>
        </is>
      </c>
      <c r="B65" s="20">
        <f>IFERROR(INDEX(Conversion!$C$2:$C$500,MATCH($A65,Conversion!$B$2:$B$500,0)),"NOT ASSIGNED")</f>
        <v/>
      </c>
      <c r="C65" s="21" t="inlineStr">
        <is>
          <t>Versatile stainless steel squeeze valve "Squeezer", blue</t>
        </is>
      </c>
      <c r="D65" s="22" t="inlineStr">
        <is>
          <t>The Squeezer valve, self-closing, 1/2" F x 1/2" F, blue, stainless steel 304</t>
        </is>
      </c>
      <c r="E65" s="23" t="n">
        <v>0.635</v>
      </c>
      <c r="F65" s="24" t="inlineStr">
        <is>
          <t>Cat p.A</t>
        </is>
      </c>
      <c r="G65" s="25" t="n">
        <v>63.12</v>
      </c>
      <c r="H65" s="25" t="n">
        <v>59.41</v>
      </c>
      <c r="I65" s="25" t="n">
        <v>51.98</v>
      </c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  <c r="R65" s="8" t="n"/>
      <c r="S65" s="28">
        <f>IF(M65="","",ROUND(M65*(1-IF($R65="",$U$6,$R65)),2))</f>
        <v/>
      </c>
      <c r="T65" s="28">
        <f>IF(N65="","",ROUND(N65*(1-IF($R65="",$U$6,$R65)),2))</f>
        <v/>
      </c>
      <c r="U65" s="28">
        <f>IF(O65="","",ROUND(O65*(1-IF($R65="",$U$6,$R65)),2))</f>
        <v/>
      </c>
      <c r="V65" s="27">
        <f>IF(S65="","",S65-J65)</f>
        <v/>
      </c>
      <c r="W65" s="27">
        <f>IF(T65="","",T65-K65)</f>
        <v/>
      </c>
      <c r="X65" s="27">
        <f>IF(U65="","",U65-L65)</f>
        <v/>
      </c>
      <c r="Y65" s="30">
        <f>IF(OR(S65="",S65=0),"",V65/S65)</f>
        <v/>
      </c>
      <c r="Z65" s="30">
        <f>IF(OR(T65="",T65=0),"",W65/T65)</f>
        <v/>
      </c>
      <c r="AA65" s="30">
        <f>IF(OR(U65="",U65=0),"",X65/U65)</f>
        <v/>
      </c>
    </row>
    <row r="66">
      <c r="A66" s="19" t="inlineStr">
        <is>
          <t>AKR001-B</t>
        </is>
      </c>
      <c r="B66" s="20">
        <f>IFERROR(INDEX(Conversion!$C$2:$C$500,MATCH($A66,Conversion!$B$2:$B$500,0)),"NOT ASSIGNED")</f>
        <v/>
      </c>
      <c r="C66" s="21" t="inlineStr">
        <is>
          <t>St, st. shower head, blue</t>
        </is>
      </c>
      <c r="D66" s="22" t="inlineStr">
        <is>
          <t>The Squeezer shower head, 1/2" M, blue, stainless steel 304 / PA66</t>
        </is>
      </c>
      <c r="E66" s="23" t="n">
        <v>0.125</v>
      </c>
      <c r="F66" s="24" t="inlineStr">
        <is>
          <t>Cat p.B (catalogue code AKRS001-B)</t>
        </is>
      </c>
      <c r="G66" s="25" t="n">
        <v>18.28</v>
      </c>
      <c r="H66" s="25" t="n">
        <v>17.2</v>
      </c>
      <c r="I66" s="25" t="n">
        <v>15.05</v>
      </c>
      <c r="J66" s="27">
        <f>IF(G66="","",G66/$C$5*(1+$C$8)+$E66*(1+$C$7)*$C$6)</f>
        <v/>
      </c>
      <c r="K66" s="27">
        <f>IF(H66="","",H66/$C$5*(1+$C$8)+$E66*(1+$C$7)*$C$6)</f>
        <v/>
      </c>
      <c r="L66" s="27">
        <f>IF(I66="","",I66/$C$5*(1+$C$8)+$E66*(1+$C$7)*$C$6)</f>
        <v/>
      </c>
      <c r="M66" s="28">
        <f>IF(J66="","",ROUND(J66*(1+$C$9),2))</f>
        <v/>
      </c>
      <c r="N66" s="28">
        <f>IF(K66="","",ROUND(K66*(1+$C$9),2))</f>
        <v/>
      </c>
      <c r="O66" s="28">
        <f>IF(L66="","",ROUND(L66*(1+$C$9),2))</f>
        <v/>
      </c>
      <c r="P66" s="29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  <c r="R66" s="8" t="n"/>
      <c r="S66" s="28">
        <f>IF(M66="","",ROUND(M66*(1-IF($R66="",$U$6,$R66)),2))</f>
        <v/>
      </c>
      <c r="T66" s="28">
        <f>IF(N66="","",ROUND(N66*(1-IF($R66="",$U$6,$R66)),2))</f>
        <v/>
      </c>
      <c r="U66" s="28">
        <f>IF(O66="","",ROUND(O66*(1-IF($R66="",$U$6,$R66)),2))</f>
        <v/>
      </c>
      <c r="V66" s="27">
        <f>IF(S66="","",S66-J66)</f>
        <v/>
      </c>
      <c r="W66" s="27">
        <f>IF(T66="","",T66-K66)</f>
        <v/>
      </c>
      <c r="X66" s="27">
        <f>IF(U66="","",U66-L66)</f>
        <v/>
      </c>
      <c r="Y66" s="30">
        <f>IF(OR(S66="",S66=0),"",V66/S66)</f>
        <v/>
      </c>
      <c r="Z66" s="30">
        <f>IF(OR(T66="",T66=0),"",W66/T66)</f>
        <v/>
      </c>
      <c r="AA66" s="30">
        <f>IF(OR(U66="",U66=0),"",X66/U66)</f>
        <v/>
      </c>
    </row>
    <row r="67"/>
    <row r="68">
      <c r="A68" s="14" t="inlineStr">
        <is>
          <t>Classic series - WD guns for lance mounting (1/2" male outlet)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</row>
    <row r="69"/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inlineStr">
        <is>
          <t>≥ 50 pcs</t>
        </is>
      </c>
      <c r="J70" s="18" t="inlineStr">
        <is>
          <t>&lt; 20 pcs</t>
        </is>
      </c>
      <c r="K70" s="18" t="inlineStr">
        <is>
          <t>≥ 20 pcs</t>
        </is>
      </c>
      <c r="L70" s="18" t="inlineStr">
        <is>
          <t>≥ 50 pcs</t>
        </is>
      </c>
      <c r="M70" s="18" t="inlineStr">
        <is>
          <t>&lt; 20 pcs</t>
        </is>
      </c>
      <c r="N70" s="18" t="inlineStr">
        <is>
          <t>≥ 20 pcs</t>
        </is>
      </c>
      <c r="O70" s="18" t="inlineStr">
        <is>
          <t>≥ 50 pcs</t>
        </is>
      </c>
      <c r="P70" s="17" t="n"/>
      <c r="R70" s="17" t="n"/>
      <c r="S70" s="18" t="inlineStr">
        <is>
          <t>&lt; 20 pcs</t>
        </is>
      </c>
      <c r="T70" s="18" t="inlineStr">
        <is>
          <t>≥ 20 pcs</t>
        </is>
      </c>
      <c r="U70" s="18" t="inlineStr">
        <is>
          <t>≥ 50 pcs</t>
        </is>
      </c>
      <c r="V70" s="18" t="inlineStr">
        <is>
          <t>&lt; 20 pcs</t>
        </is>
      </c>
      <c r="W70" s="18" t="inlineStr">
        <is>
          <t>≥ 20 pcs</t>
        </is>
      </c>
      <c r="X70" s="18" t="inlineStr">
        <is>
          <t>≥ 50 pcs</t>
        </is>
      </c>
      <c r="Y70" s="18" t="inlineStr">
        <is>
          <t>&lt; 20 pcs</t>
        </is>
      </c>
      <c r="Z70" s="18" t="inlineStr">
        <is>
          <t>≥ 20 pcs</t>
        </is>
      </c>
      <c r="AA70" s="18" t="inlineStr">
        <is>
          <t>≥ 50 pcs</t>
        </is>
      </c>
    </row>
    <row r="71">
      <c r="A71" s="19" t="inlineStr">
        <is>
          <t>KLML002-B</t>
        </is>
      </c>
      <c r="B71" s="20">
        <f>IFERROR(INDEX(Conversion!$C$2:$C$500,MATCH($A71,Conversion!$B$2:$B$500,0)),"NOT ASSIGNED")</f>
        <v/>
      </c>
      <c r="C71" s="21" t="inlineStr">
        <is>
          <t>Brass water gun, without trigger insulation and 1/2"outlet for lance mounting, blue</t>
        </is>
      </c>
      <c r="D71" s="22" t="inlineStr">
        <is>
          <t>Classic WD gun, w/o trigger insulation, 1/2" M outlet for lance, blue, brass</t>
        </is>
      </c>
      <c r="E71" s="31" t="n">
        <v>0.84</v>
      </c>
      <c r="F71" s="24" t="inlineStr">
        <is>
          <t>ESTIMATE - not in catalogue; taken as KLMN001 (p.9)</t>
        </is>
      </c>
      <c r="G71" s="25" t="n">
        <v>27.64</v>
      </c>
      <c r="H71" s="26" t="n"/>
      <c r="I71" s="26" t="n"/>
      <c r="J71" s="27">
        <f>IF(G71="","",G71/$C$5*(1+$C$8)+$E71*(1+$C$7)*$C$6)</f>
        <v/>
      </c>
      <c r="K71" s="27">
        <f>IF(H71="","",H71/$C$5*(1+$C$8)+$E71*(1+$C$7)*$C$6)</f>
        <v/>
      </c>
      <c r="L71" s="27">
        <f>IF(I71="","",I71/$C$5*(1+$C$8)+$E71*(1+$C$7)*$C$6)</f>
        <v/>
      </c>
      <c r="M71" s="28">
        <f>IF(J71="","",ROUND(J71*(1+$C$9),2))</f>
        <v/>
      </c>
      <c r="N71" s="28">
        <f>IF(K71="","",ROUND(K71*(1+$C$9),2))</f>
        <v/>
      </c>
      <c r="O71" s="28">
        <f>IF(L71="","",ROUND(L71*(1+$C$9),2))</f>
        <v/>
      </c>
      <c r="P71" s="29">
        <f>TRIM(IF($B71="NOT ASSIGNED","No NW part no. ","")&amp;IFERROR(IF(INDEX(Conversion!$J$2:$J$500,MATCH($A71,Conversion!$B$2:$B$500,0))="Needs review","Conversion table: needs review. ",""),"")&amp;IF(LEFT($F71,8)="ESTIMATE","Weight estimated. ","")&amp;"Added per Andrew 07-Oct-2026 - quoted separately by AKBO, single price only.")</f>
        <v/>
      </c>
      <c r="R71" s="8" t="n"/>
      <c r="S71" s="28">
        <f>IF(M71="","",ROUND(M71*(1-IF($R71="",$U$6,$R71)),2))</f>
        <v/>
      </c>
      <c r="T71" s="28">
        <f>IF(N71="","",ROUND(N71*(1-IF($R71="",$U$6,$R71)),2))</f>
        <v/>
      </c>
      <c r="U71" s="28">
        <f>IF(O71="","",ROUND(O71*(1-IF($R71="",$U$6,$R71)),2))</f>
        <v/>
      </c>
      <c r="V71" s="27">
        <f>IF(S71="","",S71-J71)</f>
        <v/>
      </c>
      <c r="W71" s="27">
        <f>IF(T71="","",T71-K71)</f>
        <v/>
      </c>
      <c r="X71" s="27">
        <f>IF(U71="","",U71-L71)</f>
        <v/>
      </c>
      <c r="Y71" s="30">
        <f>IF(OR(S71="",S71=0),"",V71/S71)</f>
        <v/>
      </c>
      <c r="Z71" s="30">
        <f>IF(OR(T71="",T71=0),"",W71/T71)</f>
        <v/>
      </c>
      <c r="AA71" s="30">
        <f>IF(OR(U71="",U71=0),"",X71/U71)</f>
        <v/>
      </c>
    </row>
    <row r="72">
      <c r="A72" s="19" t="inlineStr">
        <is>
          <t>AKCL002-B</t>
        </is>
      </c>
      <c r="B72" s="20">
        <f>IFERROR(INDEX(Conversion!$C$2:$C$500,MATCH($A72,Conversion!$B$2:$B$500,0)),"NOT ASSIGNED")</f>
        <v/>
      </c>
      <c r="C72" s="21" t="inlineStr">
        <is>
          <t>Chrome plated brass water gun, with 1/2" male outlet, blue</t>
        </is>
      </c>
      <c r="D72" s="22" t="inlineStr">
        <is>
          <t>Classic Protection Plus WD gun, 1/2" M outlet for lance, blue, chrome-plated brass</t>
        </is>
      </c>
      <c r="E72" s="31" t="n">
        <v>0.867</v>
      </c>
      <c r="F72" s="24" t="inlineStr">
        <is>
          <t>ESTIMATE - not in catalogue; taken as AKCN001-B (p.13)</t>
        </is>
      </c>
      <c r="G72" s="25" t="n">
        <v>44.49</v>
      </c>
      <c r="H72" s="26" t="n"/>
      <c r="I72" s="26" t="n"/>
      <c r="J72" s="27">
        <f>IF(G72="","",G72/$C$5*(1+$C$8)+$E72*(1+$C$7)*$C$6)</f>
        <v/>
      </c>
      <c r="K72" s="27">
        <f>IF(H72="","",H72/$C$5*(1+$C$8)+$E72*(1+$C$7)*$C$6)</f>
        <v/>
      </c>
      <c r="L72" s="27">
        <f>IF(I72="","",I72/$C$5*(1+$C$8)+$E72*(1+$C$7)*$C$6)</f>
        <v/>
      </c>
      <c r="M72" s="28">
        <f>IF(J72="","",ROUND(J72*(1+$C$9),2))</f>
        <v/>
      </c>
      <c r="N72" s="28">
        <f>IF(K72="","",ROUND(K72*(1+$C$9),2))</f>
        <v/>
      </c>
      <c r="O72" s="28">
        <f>IF(L72="","",ROUND(L72*(1+$C$9),2))</f>
        <v/>
      </c>
      <c r="P72" s="29">
        <f>TRIM(IF($B72="NOT ASSIGNED","No NW part no. ","")&amp;IFERROR(IF(INDEX(Conversion!$J$2:$J$500,MATCH($A72,Conversion!$B$2:$B$500,0))="Needs review","Conversion table: needs review. ",""),"")&amp;IF(LEFT($F72,8)="ESTIMATE","Weight estimated. ","")&amp;"Added per Andrew 07-Oct-2026 - quoted separately by AKBO, single price only.")</f>
        <v/>
      </c>
      <c r="R72" s="8" t="n"/>
      <c r="S72" s="28">
        <f>IF(M72="","",ROUND(M72*(1-IF($R72="",$U$6,$R72)),2))</f>
        <v/>
      </c>
      <c r="T72" s="28">
        <f>IF(N72="","",ROUND(N72*(1-IF($R72="",$U$6,$R72)),2))</f>
        <v/>
      </c>
      <c r="U72" s="28">
        <f>IF(O72="","",ROUND(O72*(1-IF($R72="",$U$6,$R72)),2))</f>
        <v/>
      </c>
      <c r="V72" s="27">
        <f>IF(S72="","",S72-J72)</f>
        <v/>
      </c>
      <c r="W72" s="27">
        <f>IF(T72="","",T72-K72)</f>
        <v/>
      </c>
      <c r="X72" s="27">
        <f>IF(U72="","",U72-L72)</f>
        <v/>
      </c>
      <c r="Y72" s="30">
        <f>IF(OR(S72="",S72=0),"",V72/S72)</f>
        <v/>
      </c>
      <c r="Z72" s="30">
        <f>IF(OR(T72="",T72=0),"",W72/T72)</f>
        <v/>
      </c>
      <c r="AA72" s="30">
        <f>IF(OR(U72="",U72=0),"",X72/U72)</f>
        <v/>
      </c>
    </row>
    <row r="73">
      <c r="A73" s="19" t="inlineStr">
        <is>
          <t>AKRL002-B</t>
        </is>
      </c>
      <c r="B73" s="20">
        <f>IFERROR(INDEX(Conversion!$C$2:$C$500,MATCH($A73,Conversion!$B$2:$B$500,0)),"NOT ASSIGNED")</f>
        <v/>
      </c>
      <c r="C73" s="21" t="inlineStr">
        <is>
          <t>St.st. (AISI 316) water gun, with 1/2" male outlet, blue</t>
        </is>
      </c>
      <c r="D73" s="22" t="inlineStr">
        <is>
          <t>Classic SS WD gun, 1/2" M outlet for lance, blue, stainless steel 316</t>
        </is>
      </c>
      <c r="E73" s="31" t="n">
        <v>0.8129999999999999</v>
      </c>
      <c r="F73" s="24" t="inlineStr">
        <is>
          <t>ESTIMATE - not in catalogue; taken as AKRN001 (p.15)</t>
        </is>
      </c>
      <c r="G73" s="25" t="n">
        <v>95.44</v>
      </c>
      <c r="H73" s="26" t="n"/>
      <c r="I73" s="26" t="n"/>
      <c r="J73" s="27">
        <f>IF(G73="","",G73/$C$5*(1+$C$8)+$E73*(1+$C$7)*$C$6)</f>
        <v/>
      </c>
      <c r="K73" s="27">
        <f>IF(H73="","",H73/$C$5*(1+$C$8)+$E73*(1+$C$7)*$C$6)</f>
        <v/>
      </c>
      <c r="L73" s="27">
        <f>IF(I73="","",I73/$C$5*(1+$C$8)+$E73*(1+$C$7)*$C$6)</f>
        <v/>
      </c>
      <c r="M73" s="28">
        <f>IF(J73="","",ROUND(J73*(1+$C$9),2))</f>
        <v/>
      </c>
      <c r="N73" s="28">
        <f>IF(K73="","",ROUND(K73*(1+$C$9),2))</f>
        <v/>
      </c>
      <c r="O73" s="28">
        <f>IF(L73="","",ROUND(L73*(1+$C$9),2))</f>
        <v/>
      </c>
      <c r="P73" s="29">
        <f>TRIM(IF($B73="NOT ASSIGNED","No NW part no. ","")&amp;IFERROR(IF(INDEX(Conversion!$J$2:$J$500,MATCH($A73,Conversion!$B$2:$B$500,0))="Needs review","Conversion table: needs review. ",""),"")&amp;IF(LEFT($F73,8)="ESTIMATE","Weight estimated. ","")&amp;"Added per Andrew 07-Oct-2026 - quoted separately by AKBO, single price only.")</f>
        <v/>
      </c>
      <c r="R73" s="8" t="n"/>
      <c r="S73" s="28">
        <f>IF(M73="","",ROUND(M73*(1-IF($R73="",$U$6,$R73)),2))</f>
        <v/>
      </c>
      <c r="T73" s="28">
        <f>IF(N73="","",ROUND(N73*(1-IF($R73="",$U$6,$R73)),2))</f>
        <v/>
      </c>
      <c r="U73" s="28">
        <f>IF(O73="","",ROUND(O73*(1-IF($R73="",$U$6,$R73)),2))</f>
        <v/>
      </c>
      <c r="V73" s="27">
        <f>IF(S73="","",S73-J73)</f>
        <v/>
      </c>
      <c r="W73" s="27">
        <f>IF(T73="","",T73-K73)</f>
        <v/>
      </c>
      <c r="X73" s="27">
        <f>IF(U73="","",U73-L73)</f>
        <v/>
      </c>
      <c r="Y73" s="30">
        <f>IF(OR(S73="",S73=0),"",V73/S73)</f>
        <v/>
      </c>
      <c r="Z73" s="30">
        <f>IF(OR(T73="",T73=0),"",W73/T73)</f>
        <v/>
      </c>
      <c r="AA73" s="30">
        <f>IF(OR(U73="",U73=0),"",X73/U73)</f>
        <v/>
      </c>
    </row>
    <row r="74">
      <c r="A74" s="19" t="inlineStr">
        <is>
          <t>AKNL002-B</t>
        </is>
      </c>
      <c r="B74" s="20">
        <f>IFERROR(INDEX(Conversion!$C$2:$C$500,MATCH($A74,Conversion!$B$2:$B$500,0)),"NOT ASSIGNED")</f>
        <v/>
      </c>
      <c r="C74" s="21" t="inlineStr">
        <is>
          <t>Glass reinforced PA66 water gun, with 1/2" male outlet, blue</t>
        </is>
      </c>
      <c r="D74" s="22" t="inlineStr">
        <is>
          <t>Classic Lite WD gun, 1/2" M outlet for lance, blue, PA66 plastic</t>
        </is>
      </c>
      <c r="E74" s="31" t="n">
        <v>0.48</v>
      </c>
      <c r="F74" s="24" t="inlineStr">
        <is>
          <t>ESTIMATE - not in catalogue; taken as AKNN001-B (p.17)</t>
        </is>
      </c>
      <c r="G74" s="25" t="n">
        <v>30.38</v>
      </c>
      <c r="H74" s="26" t="n"/>
      <c r="I74" s="26" t="n"/>
      <c r="J74" s="27">
        <f>IF(G74="","",G74/$C$5*(1+$C$8)+$E74*(1+$C$7)*$C$6)</f>
        <v/>
      </c>
      <c r="K74" s="27">
        <f>IF(H74="","",H74/$C$5*(1+$C$8)+$E74*(1+$C$7)*$C$6)</f>
        <v/>
      </c>
      <c r="L74" s="27">
        <f>IF(I74="","",I74/$C$5*(1+$C$8)+$E74*(1+$C$7)*$C$6)</f>
        <v/>
      </c>
      <c r="M74" s="28">
        <f>IF(J74="","",ROUND(J74*(1+$C$9),2))</f>
        <v/>
      </c>
      <c r="N74" s="28">
        <f>IF(K74="","",ROUND(K74*(1+$C$9),2))</f>
        <v/>
      </c>
      <c r="O74" s="28">
        <f>IF(L74="","",ROUND(L74*(1+$C$9),2))</f>
        <v/>
      </c>
      <c r="P74" s="29">
        <f>TRIM(IF($B74="NOT ASSIGNED","No NW part no. ","")&amp;IFERROR(IF(INDEX(Conversion!$J$2:$J$500,MATCH($A74,Conversion!$B$2:$B$500,0))="Needs review","Conversion table: needs review. ",""),"")&amp;IF(LEFT($F74,8)="ESTIMATE","Weight estimated. ","")&amp;"Added per Andrew 07-Oct-2026 - quoted separately by AKBO, single price only.")</f>
        <v/>
      </c>
      <c r="R74" s="8" t="n"/>
      <c r="S74" s="28">
        <f>IF(M74="","",ROUND(M74*(1-IF($R74="",$U$6,$R74)),2))</f>
        <v/>
      </c>
      <c r="T74" s="28">
        <f>IF(N74="","",ROUND(N74*(1-IF($R74="",$U$6,$R74)),2))</f>
        <v/>
      </c>
      <c r="U74" s="28">
        <f>IF(O74="","",ROUND(O74*(1-IF($R74="",$U$6,$R74)),2))</f>
        <v/>
      </c>
      <c r="V74" s="27">
        <f>IF(S74="","",S74-J74)</f>
        <v/>
      </c>
      <c r="W74" s="27">
        <f>IF(T74="","",T74-K74)</f>
        <v/>
      </c>
      <c r="X74" s="27">
        <f>IF(U74="","",U74-L74)</f>
        <v/>
      </c>
      <c r="Y74" s="30">
        <f>IF(OR(S74="",S74=0),"",V74/S74)</f>
        <v/>
      </c>
      <c r="Z74" s="30">
        <f>IF(OR(T74="",T74=0),"",W74/T74)</f>
        <v/>
      </c>
      <c r="AA74" s="30">
        <f>IF(OR(U74="",U74=0),"",X74/U74)</f>
        <v/>
      </c>
    </row>
    <row r="75"/>
    <row r="76">
      <c r="A76" s="14" t="inlineStr">
        <is>
          <t>Baby water guns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</row>
    <row r="77"/>
    <row r="78">
      <c r="A78" s="16" t="inlineStr">
        <is>
          <t>Qty break</t>
        </is>
      </c>
      <c r="B78" s="17" t="n"/>
      <c r="C78" s="17" t="n"/>
      <c r="D78" s="17" t="n"/>
      <c r="E78" s="17" t="n"/>
      <c r="F78" s="17" t="n"/>
      <c r="G78" s="18" t="inlineStr">
        <is>
          <t>&lt; 20 pcs</t>
        </is>
      </c>
      <c r="H78" s="18" t="inlineStr">
        <is>
          <t>≥ 20 pcs</t>
        </is>
      </c>
      <c r="I78" s="18" t="n"/>
      <c r="J78" s="18" t="inlineStr">
        <is>
          <t>&lt; 20 pcs</t>
        </is>
      </c>
      <c r="K78" s="18" t="inlineStr">
        <is>
          <t>≥ 20 pcs</t>
        </is>
      </c>
      <c r="L78" s="18" t="n"/>
      <c r="M78" s="18" t="inlineStr">
        <is>
          <t>&lt; 20 pcs</t>
        </is>
      </c>
      <c r="N78" s="18" t="inlineStr">
        <is>
          <t>≥ 20 pcs</t>
        </is>
      </c>
      <c r="O78" s="18" t="n"/>
      <c r="P78" s="17" t="n"/>
      <c r="R78" s="17" t="n"/>
      <c r="S78" s="18" t="inlineStr">
        <is>
          <t>&lt; 20 pcs</t>
        </is>
      </c>
      <c r="T78" s="18" t="inlineStr">
        <is>
          <t>≥ 20 pcs</t>
        </is>
      </c>
      <c r="U78" s="18" t="n"/>
      <c r="V78" s="18" t="inlineStr">
        <is>
          <t>&lt; 20 pcs</t>
        </is>
      </c>
      <c r="W78" s="18" t="inlineStr">
        <is>
          <t>≥ 20 pcs</t>
        </is>
      </c>
      <c r="X78" s="18" t="n"/>
      <c r="Y78" s="18" t="inlineStr">
        <is>
          <t>&lt; 20 pcs</t>
        </is>
      </c>
      <c r="Z78" s="18" t="inlineStr">
        <is>
          <t>≥ 20 pcs</t>
        </is>
      </c>
      <c r="AA78" s="18" t="n"/>
    </row>
    <row r="79">
      <c r="A79" s="32" t="inlineStr">
        <is>
          <t>Baby water guns "aluminium"</t>
        </is>
      </c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  <c r="O79" s="33" t="n"/>
      <c r="P79" s="33" t="n"/>
      <c r="R79" s="33" t="n"/>
      <c r="S79" s="33" t="n"/>
      <c r="T79" s="33" t="n"/>
      <c r="U79" s="33" t="n"/>
      <c r="V79" s="33" t="n"/>
      <c r="W79" s="33" t="n"/>
      <c r="X79" s="33" t="n"/>
      <c r="Y79" s="33" t="n"/>
      <c r="Z79" s="33" t="n"/>
      <c r="AA79" s="33" t="n"/>
    </row>
    <row r="80"/>
    <row r="81">
      <c r="A81" s="19" t="inlineStr">
        <is>
          <t>BABTN01-B</t>
        </is>
      </c>
      <c r="B81" s="20">
        <f>IFERROR(INDEX(Conversion!$C$2:$C$500,MATCH($A81,Conversion!$B$2:$B$500,0)),"NOT ASSIGNED")</f>
        <v/>
      </c>
      <c r="C81" s="21" t="inlineStr">
        <is>
          <t>Aluminium "baby" water gun, back trigger, blue</t>
        </is>
      </c>
      <c r="D81" s="22" t="inlineStr">
        <is>
          <t>Baby WD gun, rear trigger, blue, aluminium</t>
        </is>
      </c>
      <c r="E81" s="23" t="n">
        <v>0.36</v>
      </c>
      <c r="F81" s="24" t="inlineStr">
        <is>
          <t>Cat p.18</t>
        </is>
      </c>
      <c r="G81" s="25" t="n">
        <v>19.458846</v>
      </c>
      <c r="H81" s="25" t="n">
        <v>17.296752</v>
      </c>
      <c r="I81" s="26" t="n"/>
      <c r="J81" s="27">
        <f>IF(G81="","",G81/$C$5*(1+$C$8)+$E81*(1+$C$7)*$C$6)</f>
        <v/>
      </c>
      <c r="K81" s="27">
        <f>IF(H81="","",H81/$C$5*(1+$C$8)+$E81*(1+$C$7)*$C$6)</f>
        <v/>
      </c>
      <c r="L81" s="27">
        <f>IF(I81="","",I81/$C$5*(1+$C$8)+$E81*(1+$C$7)*$C$6)</f>
        <v/>
      </c>
      <c r="M81" s="28">
        <f>IF(J81="","",ROUND(J81*(1+$C$9),2))</f>
        <v/>
      </c>
      <c r="N81" s="28">
        <f>IF(K81="","",ROUND(K81*(1+$C$9),2))</f>
        <v/>
      </c>
      <c r="O81" s="28">
        <f>IF(L81="","",ROUND(L81*(1+$C$9),2))</f>
        <v/>
      </c>
      <c r="P81" s="29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  <c r="R81" s="8" t="n"/>
      <c r="S81" s="28">
        <f>IF(M81="","",ROUND(M81*(1-IF($R81="",$U$6,$R81)),2))</f>
        <v/>
      </c>
      <c r="T81" s="28">
        <f>IF(N81="","",ROUND(N81*(1-IF($R81="",$U$6,$R81)),2))</f>
        <v/>
      </c>
      <c r="U81" s="28">
        <f>IF(O81="","",ROUND(O81*(1-IF($R81="",$U$6,$R81)),2))</f>
        <v/>
      </c>
      <c r="V81" s="27">
        <f>IF(S81="","",S81-J81)</f>
        <v/>
      </c>
      <c r="W81" s="27">
        <f>IF(T81="","",T81-K81)</f>
        <v/>
      </c>
      <c r="X81" s="27">
        <f>IF(U81="","",U81-L81)</f>
        <v/>
      </c>
      <c r="Y81" s="30">
        <f>IF(OR(S81="",S81=0),"",V81/S81)</f>
        <v/>
      </c>
      <c r="Z81" s="30">
        <f>IF(OR(T81="",T81=0),"",W81/T81)</f>
        <v/>
      </c>
      <c r="AA81" s="30">
        <f>IF(OR(U81="",U81=0),"",X81/U81)</f>
        <v/>
      </c>
    </row>
    <row r="82">
      <c r="A82" s="19" t="inlineStr">
        <is>
          <t>BABTLF1-BL</t>
        </is>
      </c>
      <c r="B82" s="20">
        <f>IFERROR(INDEX(Conversion!$C$2:$C$500,MATCH($A82,Conversion!$B$2:$B$500,0)),"NOT ASSIGNED")</f>
        <v/>
      </c>
      <c r="C82" s="21" t="inlineStr">
        <is>
          <t>Aluminium "baby" water gun, back trigger, 1/2" female outlet, black</t>
        </is>
      </c>
      <c r="D82" s="22" t="inlineStr">
        <is>
          <t>Baby WD gun, rear trigger, 1/2" F outlet, black, aluminium</t>
        </is>
      </c>
      <c r="E82" s="23" t="n">
        <v>0.365</v>
      </c>
      <c r="F82" s="24" t="inlineStr">
        <is>
          <t>Cat p.37</t>
        </is>
      </c>
      <c r="G82" s="25" t="n">
        <v>20.56626</v>
      </c>
      <c r="H82" s="25" t="n">
        <v>18.28112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  <c r="R82" s="8" t="n"/>
      <c r="S82" s="28">
        <f>IF(M82="","",ROUND(M82*(1-IF($R82="",$U$6,$R82)),2))</f>
        <v/>
      </c>
      <c r="T82" s="28">
        <f>IF(N82="","",ROUND(N82*(1-IF($R82="",$U$6,$R82)),2))</f>
        <v/>
      </c>
      <c r="U82" s="28">
        <f>IF(O82="","",ROUND(O82*(1-IF($R82="",$U$6,$R82)),2))</f>
        <v/>
      </c>
      <c r="V82" s="27">
        <f>IF(S82="","",S82-J82)</f>
        <v/>
      </c>
      <c r="W82" s="27">
        <f>IF(T82="","",T82-K82)</f>
        <v/>
      </c>
      <c r="X82" s="27">
        <f>IF(U82="","",U82-L82)</f>
        <v/>
      </c>
      <c r="Y82" s="30">
        <f>IF(OR(S82="",S82=0),"",V82/S82)</f>
        <v/>
      </c>
      <c r="Z82" s="30">
        <f>IF(OR(T82="",T82=0),"",W82/T82)</f>
        <v/>
      </c>
      <c r="AA82" s="30">
        <f>IF(OR(U82="",U82=0),"",X82/U82)</f>
        <v/>
      </c>
    </row>
    <row r="83">
      <c r="A83" s="19" t="inlineStr">
        <is>
          <t>BABTA01-B</t>
        </is>
      </c>
      <c r="B83" s="20">
        <f>IFERROR(INDEX(Conversion!$C$2:$C$500,MATCH($A83,Conversion!$B$2:$B$500,0)),"NOT ASSIGNED")</f>
        <v/>
      </c>
      <c r="C83" s="21" t="inlineStr">
        <is>
          <t>Aluminium "baby" water gun, back trigger, adapter outlet, blue</t>
        </is>
      </c>
      <c r="D83" s="22" t="inlineStr">
        <is>
          <t>Baby WD gun, rear trigger, adapter outlet, blue, aluminium</t>
        </is>
      </c>
      <c r="E83" s="31" t="n">
        <v>0.365</v>
      </c>
      <c r="F83" s="24" t="inlineStr">
        <is>
          <t>ESTIMATE - not in catalogue; taken as BABTLF1-BL</t>
        </is>
      </c>
      <c r="G83" s="25" t="n">
        <v>20.56626</v>
      </c>
      <c r="H83" s="25" t="n">
        <v>18.28112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  <c r="R83" s="8" t="n"/>
      <c r="S83" s="28">
        <f>IF(M83="","",ROUND(M83*(1-IF($R83="",$U$6,$R83)),2))</f>
        <v/>
      </c>
      <c r="T83" s="28">
        <f>IF(N83="","",ROUND(N83*(1-IF($R83="",$U$6,$R83)),2))</f>
        <v/>
      </c>
      <c r="U83" s="28">
        <f>IF(O83="","",ROUND(O83*(1-IF($R83="",$U$6,$R83)),2))</f>
        <v/>
      </c>
      <c r="V83" s="27">
        <f>IF(S83="","",S83-J83)</f>
        <v/>
      </c>
      <c r="W83" s="27">
        <f>IF(T83="","",T83-K83)</f>
        <v/>
      </c>
      <c r="X83" s="27">
        <f>IF(U83="","",U83-L83)</f>
        <v/>
      </c>
      <c r="Y83" s="30">
        <f>IF(OR(S83="",S83=0),"",V83/S83)</f>
        <v/>
      </c>
      <c r="Z83" s="30">
        <f>IF(OR(T83="",T83=0),"",W83/T83)</f>
        <v/>
      </c>
      <c r="AA83" s="30">
        <f>IF(OR(U83="",U83=0),"",X83/U83)</f>
        <v/>
      </c>
    </row>
    <row r="84">
      <c r="A84" s="19" t="inlineStr">
        <is>
          <t>BABTNAA-B</t>
        </is>
      </c>
      <c r="B84" s="20">
        <f>IFERROR(INDEX(Conversion!$C$2:$C$500,MATCH($A84,Conversion!$B$2:$B$500,0)),"NOT ASSIGNED")</f>
        <v/>
      </c>
      <c r="C84" s="21" t="inlineStr">
        <is>
          <t>Aluminium "baby" water gun, back trigger, adapter in/output, blue</t>
        </is>
      </c>
      <c r="D84" s="22" t="inlineStr">
        <is>
          <t>Baby WD gun, rear trigger, adapter inlet &amp; outlet, blue, aluminium</t>
        </is>
      </c>
      <c r="E84" s="31" t="n">
        <v>0.37</v>
      </c>
      <c r="F84" s="24" t="inlineStr">
        <is>
          <t>ESTIMATE - not in catalogue; BABTN01-B + adapters</t>
        </is>
      </c>
      <c r="G84" s="25" t="n">
        <v>22.7997</v>
      </c>
      <c r="H84" s="25" t="n">
        <v>20.2664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  <c r="R84" s="8" t="n"/>
      <c r="S84" s="28">
        <f>IF(M84="","",ROUND(M84*(1-IF($R84="",$U$6,$R84)),2))</f>
        <v/>
      </c>
      <c r="T84" s="28">
        <f>IF(N84="","",ROUND(N84*(1-IF($R84="",$U$6,$R84)),2))</f>
        <v/>
      </c>
      <c r="U84" s="28">
        <f>IF(O84="","",ROUND(O84*(1-IF($R84="",$U$6,$R84)),2))</f>
        <v/>
      </c>
      <c r="V84" s="27">
        <f>IF(S84="","",S84-J84)</f>
        <v/>
      </c>
      <c r="W84" s="27">
        <f>IF(T84="","",T84-K84)</f>
        <v/>
      </c>
      <c r="X84" s="27">
        <f>IF(U84="","",U84-L84)</f>
        <v/>
      </c>
      <c r="Y84" s="30">
        <f>IF(OR(S84="",S84=0),"",V84/S84)</f>
        <v/>
      </c>
      <c r="Z84" s="30">
        <f>IF(OR(T84="",T84=0),"",W84/T84)</f>
        <v/>
      </c>
      <c r="AA84" s="30">
        <f>IF(OR(U84="",U84=0),"",X84/U84)</f>
        <v/>
      </c>
    </row>
    <row r="85"/>
    <row r="86">
      <c r="A86" s="32" t="inlineStr">
        <is>
          <t>Baby water guns "brass"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  <c r="O86" s="33" t="n"/>
      <c r="P86" s="33" t="n"/>
      <c r="R86" s="33" t="n"/>
      <c r="S86" s="33" t="n"/>
      <c r="T86" s="33" t="n"/>
      <c r="U86" s="33" t="n"/>
      <c r="V86" s="33" t="n"/>
      <c r="W86" s="33" t="n"/>
      <c r="X86" s="33" t="n"/>
      <c r="Y86" s="33" t="n"/>
      <c r="Z86" s="33" t="n"/>
      <c r="AA86" s="33" t="n"/>
    </row>
    <row r="87"/>
    <row r="88">
      <c r="A88" s="19" t="inlineStr">
        <is>
          <t>BMBTN01-B</t>
        </is>
      </c>
      <c r="B88" s="20">
        <f>IFERROR(INDEX(Conversion!$C$2:$C$500,MATCH($A88,Conversion!$B$2:$B$500,0)),"NOT ASSIGNED")</f>
        <v/>
      </c>
      <c r="C88" s="21" t="inlineStr">
        <is>
          <t>Brass "baby" water gun, back trigger, blue</t>
        </is>
      </c>
      <c r="D88" s="22" t="inlineStr">
        <is>
          <t>Baby WD gun, rear trigger, blue, brass</t>
        </is>
      </c>
      <c r="E88" s="23" t="n">
        <v>0.622</v>
      </c>
      <c r="F88" s="24" t="inlineStr">
        <is>
          <t>Cat p.18</t>
        </is>
      </c>
      <c r="G88" s="25" t="n">
        <v>22.418154</v>
      </c>
      <c r="H88" s="25" t="n">
        <v>19.927248</v>
      </c>
      <c r="I88" s="26" t="n"/>
      <c r="J88" s="27">
        <f>IF(G88="","",G88/$C$5*(1+$C$8)+$E88*(1+$C$7)*$C$6)</f>
        <v/>
      </c>
      <c r="K88" s="27">
        <f>IF(H88="","",H88/$C$5*(1+$C$8)+$E88*(1+$C$7)*$C$6)</f>
        <v/>
      </c>
      <c r="L88" s="27">
        <f>IF(I88="","",I88/$C$5*(1+$C$8)+$E88*(1+$C$7)*$C$6)</f>
        <v/>
      </c>
      <c r="M88" s="28">
        <f>IF(J88="","",ROUND(J88*(1+$C$9),2))</f>
        <v/>
      </c>
      <c r="N88" s="28">
        <f>IF(K88="","",ROUND(K88*(1+$C$9),2))</f>
        <v/>
      </c>
      <c r="O88" s="28">
        <f>IF(L88="","",ROUND(L88*(1+$C$9),2))</f>
        <v/>
      </c>
      <c r="P88" s="29">
        <f>TRIM(IF($B88="NOT ASSIGNED","No NW part no. ","")&amp;IFERROR(IF(INDEX(Conversion!$J$2:$J$500,MATCH($A88,Conversion!$B$2:$B$500,0))="Needs review","Conversion table: needs review. ",""),"")&amp;IF(LEFT($F88,8)="ESTIMATE","Weight estimated. ","")&amp;"")</f>
        <v/>
      </c>
      <c r="R88" s="8" t="n"/>
      <c r="S88" s="28">
        <f>IF(M88="","",ROUND(M88*(1-IF($R88="",$U$6,$R88)),2))</f>
        <v/>
      </c>
      <c r="T88" s="28">
        <f>IF(N88="","",ROUND(N88*(1-IF($R88="",$U$6,$R88)),2))</f>
        <v/>
      </c>
      <c r="U88" s="28">
        <f>IF(O88="","",ROUND(O88*(1-IF($R88="",$U$6,$R88)),2))</f>
        <v/>
      </c>
      <c r="V88" s="27">
        <f>IF(S88="","",S88-J88)</f>
        <v/>
      </c>
      <c r="W88" s="27">
        <f>IF(T88="","",T88-K88)</f>
        <v/>
      </c>
      <c r="X88" s="27">
        <f>IF(U88="","",U88-L88)</f>
        <v/>
      </c>
      <c r="Y88" s="30">
        <f>IF(OR(S88="",S88=0),"",V88/S88)</f>
        <v/>
      </c>
      <c r="Z88" s="30">
        <f>IF(OR(T88="",T88=0),"",W88/T88)</f>
        <v/>
      </c>
      <c r="AA88" s="30">
        <f>IF(OR(U88="",U88=0),"",X88/U88)</f>
        <v/>
      </c>
    </row>
    <row r="89">
      <c r="A89" s="19" t="inlineStr">
        <is>
          <t>BMBNN01-B</t>
        </is>
      </c>
      <c r="B89" s="20">
        <f>IFERROR(INDEX(Conversion!$C$2:$C$500,MATCH($A89,Conversion!$B$2:$B$500,0)),"NOT ASSIGNED")</f>
        <v/>
      </c>
      <c r="C89" s="21" t="inlineStr">
        <is>
          <t>Brass "baby" water gun, back trigger, 1/2" male outlet with adjustable spray pattern, blue</t>
        </is>
      </c>
      <c r="D89" s="22" t="inlineStr">
        <is>
          <t>Baby WD gun, rear trigger, 1/2" M outlet, adjustable nozzle, blue, brass</t>
        </is>
      </c>
      <c r="E89" s="23" t="n">
        <v>0.65</v>
      </c>
      <c r="F89" s="24" t="inlineStr">
        <is>
          <t>Cat p.37</t>
        </is>
      </c>
      <c r="G89" s="25" t="n">
        <v>22.418154</v>
      </c>
      <c r="H89" s="25" t="n">
        <v>19.927248</v>
      </c>
      <c r="I89" s="26" t="n"/>
      <c r="J89" s="27">
        <f>IF(G89="","",G89/$C$5*(1+$C$8)+$E89*(1+$C$7)*$C$6)</f>
        <v/>
      </c>
      <c r="K89" s="27">
        <f>IF(H89="","",H89/$C$5*(1+$C$8)+$E89*(1+$C$7)*$C$6)</f>
        <v/>
      </c>
      <c r="L89" s="27">
        <f>IF(I89="","",I89/$C$5*(1+$C$8)+$E89*(1+$C$7)*$C$6)</f>
        <v/>
      </c>
      <c r="M89" s="28">
        <f>IF(J89="","",ROUND(J89*(1+$C$9),2))</f>
        <v/>
      </c>
      <c r="N89" s="28">
        <f>IF(K89="","",ROUND(K89*(1+$C$9),2))</f>
        <v/>
      </c>
      <c r="O89" s="28">
        <f>IF(L89="","",ROUND(L89*(1+$C$9),2))</f>
        <v/>
      </c>
      <c r="P89" s="29">
        <f>TRIM(IF($B89="NOT ASSIGNED","No NW part no. ","")&amp;IFERROR(IF(INDEX(Conversion!$J$2:$J$500,MATCH($A89,Conversion!$B$2:$B$500,0))="Needs review","Conversion table: needs review. ",""),"")&amp;IF(LEFT($F89,8)="ESTIMATE","Weight estimated. ","")&amp;"")</f>
        <v/>
      </c>
      <c r="R89" s="8" t="n"/>
      <c r="S89" s="28">
        <f>IF(M89="","",ROUND(M89*(1-IF($R89="",$U$6,$R89)),2))</f>
        <v/>
      </c>
      <c r="T89" s="28">
        <f>IF(N89="","",ROUND(N89*(1-IF($R89="",$U$6,$R89)),2))</f>
        <v/>
      </c>
      <c r="U89" s="28">
        <f>IF(O89="","",ROUND(O89*(1-IF($R89="",$U$6,$R89)),2))</f>
        <v/>
      </c>
      <c r="V89" s="27">
        <f>IF(S89="","",S89-J89)</f>
        <v/>
      </c>
      <c r="W89" s="27">
        <f>IF(T89="","",T89-K89)</f>
        <v/>
      </c>
      <c r="X89" s="27">
        <f>IF(U89="","",U89-L89)</f>
        <v/>
      </c>
      <c r="Y89" s="30">
        <f>IF(OR(S89="",S89=0),"",V89/S89)</f>
        <v/>
      </c>
      <c r="Z89" s="30">
        <f>IF(OR(T89="",T89=0),"",W89/T89)</f>
        <v/>
      </c>
      <c r="AA89" s="30">
        <f>IF(OR(U89="",U89=0),"",X89/U89)</f>
        <v/>
      </c>
    </row>
    <row r="90">
      <c r="A90" s="19" t="inlineStr">
        <is>
          <t>BMBTL01-B</t>
        </is>
      </c>
      <c r="B90" s="20">
        <f>IFERROR(INDEX(Conversion!$C$2:$C$500,MATCH($A90,Conversion!$B$2:$B$500,0)),"NOT ASSIGNED")</f>
        <v/>
      </c>
      <c r="C90" s="21" t="inlineStr">
        <is>
          <t>Brass "baby" water gun, back trigger, 1/2" male outlet, blue</t>
        </is>
      </c>
      <c r="D90" s="22" t="inlineStr">
        <is>
          <t>Baby WD gun, rear trigger, 1/2" M outlet, blue, brass</t>
        </is>
      </c>
      <c r="E90" s="31" t="n">
        <v>0.65</v>
      </c>
      <c r="F90" s="24" t="inlineStr">
        <is>
          <t>ESTIMATE - not in catalogue; taken as BMBNN01-B</t>
        </is>
      </c>
      <c r="G90" s="25" t="n">
        <v>23.516262</v>
      </c>
      <c r="H90" s="25" t="n">
        <v>20.903344</v>
      </c>
      <c r="I90" s="26" t="n"/>
      <c r="J90" s="27">
        <f>IF(G90="","",G90/$C$5*(1+$C$8)+$E90*(1+$C$7)*$C$6)</f>
        <v/>
      </c>
      <c r="K90" s="27">
        <f>IF(H90="","",H90/$C$5*(1+$C$8)+$E90*(1+$C$7)*$C$6)</f>
        <v/>
      </c>
      <c r="L90" s="27">
        <f>IF(I90="","",I90/$C$5*(1+$C$8)+$E90*(1+$C$7)*$C$6)</f>
        <v/>
      </c>
      <c r="M90" s="28">
        <f>IF(J90="","",ROUND(J90*(1+$C$9),2))</f>
        <v/>
      </c>
      <c r="N90" s="28">
        <f>IF(K90="","",ROUND(K90*(1+$C$9),2))</f>
        <v/>
      </c>
      <c r="O90" s="28">
        <f>IF(L90="","",ROUND(L90*(1+$C$9),2))</f>
        <v/>
      </c>
      <c r="P90" s="29">
        <f>TRIM(IF($B90="NOT ASSIGNED","No NW part no. ","")&amp;IFERROR(IF(INDEX(Conversion!$J$2:$J$500,MATCH($A90,Conversion!$B$2:$B$500,0))="Needs review","Conversion table: needs review. ",""),"")&amp;IF(LEFT($F90,8)="ESTIMATE","Weight estimated. ","")&amp;"")</f>
        <v/>
      </c>
      <c r="R90" s="8" t="n"/>
      <c r="S90" s="28">
        <f>IF(M90="","",ROUND(M90*(1-IF($R90="",$U$6,$R90)),2))</f>
        <v/>
      </c>
      <c r="T90" s="28">
        <f>IF(N90="","",ROUND(N90*(1-IF($R90="",$U$6,$R90)),2))</f>
        <v/>
      </c>
      <c r="U90" s="28">
        <f>IF(O90="","",ROUND(O90*(1-IF($R90="",$U$6,$R90)),2))</f>
        <v/>
      </c>
      <c r="V90" s="27">
        <f>IF(S90="","",S90-J90)</f>
        <v/>
      </c>
      <c r="W90" s="27">
        <f>IF(T90="","",T90-K90)</f>
        <v/>
      </c>
      <c r="X90" s="27">
        <f>IF(U90="","",U90-L90)</f>
        <v/>
      </c>
      <c r="Y90" s="30">
        <f>IF(OR(S90="",S90=0),"",V90/S90)</f>
        <v/>
      </c>
      <c r="Z90" s="30">
        <f>IF(OR(T90="",T90=0),"",W90/T90)</f>
        <v/>
      </c>
      <c r="AA90" s="30">
        <f>IF(OR(U90="",U90=0),"",X90/U90)</f>
        <v/>
      </c>
    </row>
    <row r="91">
      <c r="A91" s="19" t="inlineStr">
        <is>
          <t>BMBTA01-B</t>
        </is>
      </c>
      <c r="B91" s="20">
        <f>IFERROR(INDEX(Conversion!$C$2:$C$500,MATCH($A91,Conversion!$B$2:$B$500,0)),"NOT ASSIGNED")</f>
        <v/>
      </c>
      <c r="C91" s="21" t="inlineStr">
        <is>
          <t>Brass "baby" water gun, back trigger, adapter output, blue</t>
        </is>
      </c>
      <c r="D91" s="22" t="inlineStr">
        <is>
          <t>Baby WD gun, rear trigger, adapter outlet, blue, brass</t>
        </is>
      </c>
      <c r="E91" s="31" t="n">
        <v>0.65</v>
      </c>
      <c r="F91" s="24" t="inlineStr">
        <is>
          <t>ESTIMATE - not in catalogue; taken as BMBNN01-B</t>
        </is>
      </c>
      <c r="G91" s="25" t="n">
        <v>23.516262</v>
      </c>
      <c r="H91" s="25" t="n">
        <v>20.903344</v>
      </c>
      <c r="I91" s="26" t="n"/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  <c r="R91" s="8" t="n"/>
      <c r="S91" s="28">
        <f>IF(M91="","",ROUND(M91*(1-IF($R91="",$U$6,$R91)),2))</f>
        <v/>
      </c>
      <c r="T91" s="28">
        <f>IF(N91="","",ROUND(N91*(1-IF($R91="",$U$6,$R91)),2))</f>
        <v/>
      </c>
      <c r="U91" s="28">
        <f>IF(O91="","",ROUND(O91*(1-IF($R91="",$U$6,$R91)),2))</f>
        <v/>
      </c>
      <c r="V91" s="27">
        <f>IF(S91="","",S91-J91)</f>
        <v/>
      </c>
      <c r="W91" s="27">
        <f>IF(T91="","",T91-K91)</f>
        <v/>
      </c>
      <c r="X91" s="27">
        <f>IF(U91="","",U91-L91)</f>
        <v/>
      </c>
      <c r="Y91" s="30">
        <f>IF(OR(S91="",S91=0),"",V91/S91)</f>
        <v/>
      </c>
      <c r="Z91" s="30">
        <f>IF(OR(T91="",T91=0),"",W91/T91)</f>
        <v/>
      </c>
      <c r="AA91" s="30">
        <f>IF(OR(U91="",U91=0),"",X91/U91)</f>
        <v/>
      </c>
    </row>
    <row r="92">
      <c r="A92" s="19" t="inlineStr">
        <is>
          <t>BMBTA02-B-V</t>
        </is>
      </c>
      <c r="B92" s="20">
        <f>IFERROR(INDEX(Conversion!$C$2:$C$500,MATCH($A92,Conversion!$B$2:$B$500,0)),"NOT ASSIGNED")</f>
        <v/>
      </c>
      <c r="C92" s="21" t="inlineStr">
        <is>
          <t>Brass "baby" water gun, back trigger, adapter output, viton seals, blue</t>
        </is>
      </c>
      <c r="D92" s="22" t="inlineStr">
        <is>
          <t>Baby WD gun, rear trigger, adapter outlet, Viton seals, blue, brass</t>
        </is>
      </c>
      <c r="E92" s="31" t="n">
        <v>0.65</v>
      </c>
      <c r="F92" s="24" t="inlineStr">
        <is>
          <t>ESTIMATE - not in catalogue; taken as BMBNN01-B</t>
        </is>
      </c>
      <c r="G92" s="25" t="n">
        <v>23.516262</v>
      </c>
      <c r="H92" s="25" t="n">
        <v>20.903344</v>
      </c>
      <c r="I92" s="26" t="n"/>
      <c r="J92" s="27">
        <f>IF(G92="","",G92/$C$5*(1+$C$8)+$E92*(1+$C$7)*$C$6)</f>
        <v/>
      </c>
      <c r="K92" s="27">
        <f>IF(H92="","",H92/$C$5*(1+$C$8)+$E92*(1+$C$7)*$C$6)</f>
        <v/>
      </c>
      <c r="L92" s="27">
        <f>IF(I92="","",I92/$C$5*(1+$C$8)+$E92*(1+$C$7)*$C$6)</f>
        <v/>
      </c>
      <c r="M92" s="28">
        <f>IF(J92="","",ROUND(J92*(1+$C$9),2))</f>
        <v/>
      </c>
      <c r="N92" s="28">
        <f>IF(K92="","",ROUND(K92*(1+$C$9),2))</f>
        <v/>
      </c>
      <c r="O92" s="28">
        <f>IF(L92="","",ROUND(L92*(1+$C$9),2))</f>
        <v/>
      </c>
      <c r="P92" s="29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  <c r="R92" s="8" t="n"/>
      <c r="S92" s="28">
        <f>IF(M92="","",ROUND(M92*(1-IF($R92="",$U$6,$R92)),2))</f>
        <v/>
      </c>
      <c r="T92" s="28">
        <f>IF(N92="","",ROUND(N92*(1-IF($R92="",$U$6,$R92)),2))</f>
        <v/>
      </c>
      <c r="U92" s="28">
        <f>IF(O92="","",ROUND(O92*(1-IF($R92="",$U$6,$R92)),2))</f>
        <v/>
      </c>
      <c r="V92" s="27">
        <f>IF(S92="","",S92-J92)</f>
        <v/>
      </c>
      <c r="W92" s="27">
        <f>IF(T92="","",T92-K92)</f>
        <v/>
      </c>
      <c r="X92" s="27">
        <f>IF(U92="","",U92-L92)</f>
        <v/>
      </c>
      <c r="Y92" s="30">
        <f>IF(OR(S92="",S92=0),"",V92/S92)</f>
        <v/>
      </c>
      <c r="Z92" s="30">
        <f>IF(OR(T92="",T92=0),"",W92/T92)</f>
        <v/>
      </c>
      <c r="AA92" s="30">
        <f>IF(OR(U92="",U92=0),"",X92/U92)</f>
        <v/>
      </c>
    </row>
    <row r="93"/>
    <row r="94">
      <c r="A94" s="14" t="inlineStr">
        <is>
          <t>Other water guns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</row>
    <row r="95"/>
    <row r="96">
      <c r="A96" s="16" t="inlineStr">
        <is>
          <t>Qty break</t>
        </is>
      </c>
      <c r="B96" s="17" t="n"/>
      <c r="C96" s="17" t="n"/>
      <c r="D96" s="17" t="n"/>
      <c r="E96" s="17" t="n"/>
      <c r="F96" s="17" t="n"/>
      <c r="G96" s="18" t="inlineStr">
        <is>
          <t>&lt; 10 pcs</t>
        </is>
      </c>
      <c r="H96" s="18" t="inlineStr">
        <is>
          <t>≥ 10 pcs</t>
        </is>
      </c>
      <c r="I96" s="18" t="inlineStr">
        <is>
          <t>≥ 50 pcs</t>
        </is>
      </c>
      <c r="J96" s="18" t="inlineStr">
        <is>
          <t>&lt; 10 pcs</t>
        </is>
      </c>
      <c r="K96" s="18" t="inlineStr">
        <is>
          <t>≥ 10 pcs</t>
        </is>
      </c>
      <c r="L96" s="18" t="inlineStr">
        <is>
          <t>≥ 50 pcs</t>
        </is>
      </c>
      <c r="M96" s="18" t="inlineStr">
        <is>
          <t>&lt; 10 pcs</t>
        </is>
      </c>
      <c r="N96" s="18" t="inlineStr">
        <is>
          <t>≥ 10 pcs</t>
        </is>
      </c>
      <c r="O96" s="18" t="inlineStr">
        <is>
          <t>≥ 50 pcs</t>
        </is>
      </c>
      <c r="P96" s="17" t="n"/>
      <c r="R96" s="17" t="n"/>
      <c r="S96" s="18" t="inlineStr">
        <is>
          <t>&lt; 10 pcs</t>
        </is>
      </c>
      <c r="T96" s="18" t="inlineStr">
        <is>
          <t>≥ 10 pcs</t>
        </is>
      </c>
      <c r="U96" s="18" t="inlineStr">
        <is>
          <t>≥ 50 pcs</t>
        </is>
      </c>
      <c r="V96" s="18" t="inlineStr">
        <is>
          <t>&lt; 10 pcs</t>
        </is>
      </c>
      <c r="W96" s="18" t="inlineStr">
        <is>
          <t>≥ 10 pcs</t>
        </is>
      </c>
      <c r="X96" s="18" t="inlineStr">
        <is>
          <t>≥ 50 pcs</t>
        </is>
      </c>
      <c r="Y96" s="18" t="inlineStr">
        <is>
          <t>&lt; 10 pcs</t>
        </is>
      </c>
      <c r="Z96" s="18" t="inlineStr">
        <is>
          <t>≥ 10 pcs</t>
        </is>
      </c>
      <c r="AA96" s="18" t="inlineStr">
        <is>
          <t>≥ 50 pcs</t>
        </is>
      </c>
    </row>
    <row r="97">
      <c r="A97" s="19" t="inlineStr">
        <is>
          <t>AGIL572</t>
        </is>
      </c>
      <c r="B97" s="20">
        <f>IFERROR(INDEX(Conversion!$C$2:$C$500,MATCH($A97,Conversion!$B$2:$B$500,0)),"NOT ASSIGNED")</f>
        <v/>
      </c>
      <c r="C97" s="21" t="inlineStr">
        <is>
          <t>Water nozzle light duty, red</t>
        </is>
      </c>
      <c r="D97" s="22" t="inlineStr">
        <is>
          <t>Spray Gun XS Lite, 3/4" GHT outlet, red, chrome-plated zinc</t>
        </is>
      </c>
      <c r="E97" s="23" t="n">
        <v>0.2</v>
      </c>
      <c r="F97" s="24" t="inlineStr">
        <is>
          <t>Cat p.29</t>
        </is>
      </c>
      <c r="G97" s="25" t="n">
        <v>11.19</v>
      </c>
      <c r="H97" s="26" t="n"/>
      <c r="I97" s="26" t="n"/>
      <c r="J97" s="27">
        <f>IF(G97="","",G97/$C$5*(1+$C$8)+$E97*(1+$C$7)*$C$6)</f>
        <v/>
      </c>
      <c r="K97" s="27">
        <f>IF(H97="","",H97/$C$5*(1+$C$8)+$E97*(1+$C$7)*$C$6)</f>
        <v/>
      </c>
      <c r="L97" s="27">
        <f>IF(I97="","",I97/$C$5*(1+$C$8)+$E97*(1+$C$7)*$C$6)</f>
        <v/>
      </c>
      <c r="M97" s="28">
        <f>IF(J97="","",ROUND(J97*(1+$C$9),2))</f>
        <v/>
      </c>
      <c r="N97" s="28">
        <f>IF(K97="","",ROUND(K97*(1+$C$9),2))</f>
        <v/>
      </c>
      <c r="O97" s="28">
        <f>IF(L97="","",ROUND(L97*(1+$C$9),2))</f>
        <v/>
      </c>
      <c r="P97" s="29">
        <f>TRIM(IF($B97="NOT ASSIGNED","No NW part no. ","")&amp;IFERROR(IF(INDEX(Conversion!$J$2:$J$500,MATCH($A97,Conversion!$B$2:$B$500,0))="Needs review","Conversion table: needs review. ",""),"")&amp;IF(LEFT($F97,8)="ESTIMATE","Weight estimated. ","")&amp;"AKBO note at 3rd break: '48pcs 9,87'")</f>
        <v/>
      </c>
      <c r="R97" s="8" t="n"/>
      <c r="S97" s="28">
        <f>IF(M97="","",ROUND(M97*(1-IF($R97="",$U$6,$R97)),2))</f>
        <v/>
      </c>
      <c r="T97" s="28">
        <f>IF(N97="","",ROUND(N97*(1-IF($R97="",$U$6,$R97)),2))</f>
        <v/>
      </c>
      <c r="U97" s="28">
        <f>IF(O97="","",ROUND(O97*(1-IF($R97="",$U$6,$R97)),2))</f>
        <v/>
      </c>
      <c r="V97" s="27">
        <f>IF(S97="","",S97-J97)</f>
        <v/>
      </c>
      <c r="W97" s="27">
        <f>IF(T97="","",T97-K97)</f>
        <v/>
      </c>
      <c r="X97" s="27">
        <f>IF(U97="","",U97-L97)</f>
        <v/>
      </c>
      <c r="Y97" s="30">
        <f>IF(OR(S97="",S97=0),"",V97/S97)</f>
        <v/>
      </c>
      <c r="Z97" s="30">
        <f>IF(OR(T97="",T97=0),"",W97/T97)</f>
        <v/>
      </c>
      <c r="AA97" s="30">
        <f>IF(OR(U97="",U97=0),"",X97/U97)</f>
        <v/>
      </c>
    </row>
    <row r="98"/>
    <row r="99">
      <c r="A99" s="19" t="inlineStr">
        <is>
          <t>AKMSH03-B</t>
        </is>
      </c>
      <c r="B99" s="20">
        <f>IFERROR(INDEX(Conversion!$C$2:$C$500,MATCH($A99,Conversion!$B$2:$B$500,0)),"NOT ASSIGNED")</f>
        <v/>
      </c>
      <c r="C99" s="21" t="inlineStr">
        <is>
          <t>Brass spray head black, blue handgrip</t>
        </is>
      </c>
      <c r="D99" s="22" t="inlineStr">
        <is>
          <t>Twistflow WD Nozzle, w/ handle, black head / blue handle, brass</t>
        </is>
      </c>
      <c r="E99" s="23" t="n">
        <v>0.525</v>
      </c>
      <c r="F99" s="24" t="inlineStr">
        <is>
          <t>Cat p.54 (head + brass handle)</t>
        </is>
      </c>
      <c r="G99" s="25" t="n">
        <v>40.971216</v>
      </c>
      <c r="H99" s="25" t="n">
        <v>35.849814</v>
      </c>
      <c r="I99" s="25" t="n">
        <v>33.289113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  <c r="R99" s="8" t="n"/>
      <c r="S99" s="28">
        <f>IF(M99="","",ROUND(M99*(1-IF($R99="",$U$6,$R99)),2))</f>
        <v/>
      </c>
      <c r="T99" s="28">
        <f>IF(N99="","",ROUND(N99*(1-IF($R99="",$U$6,$R99)),2))</f>
        <v/>
      </c>
      <c r="U99" s="28">
        <f>IF(O99="","",ROUND(O99*(1-IF($R99="",$U$6,$R99)),2))</f>
        <v/>
      </c>
      <c r="V99" s="27">
        <f>IF(S99="","",S99-J99)</f>
        <v/>
      </c>
      <c r="W99" s="27">
        <f>IF(T99="","",T99-K99)</f>
        <v/>
      </c>
      <c r="X99" s="27">
        <f>IF(U99="","",U99-L99)</f>
        <v/>
      </c>
      <c r="Y99" s="30">
        <f>IF(OR(S99="",S99=0),"",V99/S99)</f>
        <v/>
      </c>
      <c r="Z99" s="30">
        <f>IF(OR(T99="",T99=0),"",W99/T99)</f>
        <v/>
      </c>
      <c r="AA99" s="30">
        <f>IF(OR(U99="",U99=0),"",X99/U99)</f>
        <v/>
      </c>
    </row>
    <row r="100">
      <c r="A100" s="19" t="inlineStr">
        <is>
          <t>AKMSH03-R</t>
        </is>
      </c>
      <c r="B100" s="20">
        <f>IFERROR(INDEX(Conversion!$C$2:$C$500,MATCH($A100,Conversion!$B$2:$B$500,0)),"NOT ASSIGNED")</f>
        <v/>
      </c>
      <c r="C100" s="21" t="inlineStr">
        <is>
          <t>Brass spray head black, red handgrip</t>
        </is>
      </c>
      <c r="D100" s="22" t="inlineStr">
        <is>
          <t>Twistflow WD Nozzle, w/ handle, black head / red handle, brass</t>
        </is>
      </c>
      <c r="E100" s="23" t="n">
        <v>0.525</v>
      </c>
      <c r="F100" s="24" t="inlineStr">
        <is>
          <t>Cat p.54 (head + brass handle)</t>
        </is>
      </c>
      <c r="G100" s="25" t="n">
        <v>40.971216</v>
      </c>
      <c r="H100" s="25" t="n">
        <v>35.849814</v>
      </c>
      <c r="I100" s="25" t="n">
        <v>33.289113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  <c r="R100" s="8" t="n"/>
      <c r="S100" s="28">
        <f>IF(M100="","",ROUND(M100*(1-IF($R100="",$U$6,$R100)),2))</f>
        <v/>
      </c>
      <c r="T100" s="28">
        <f>IF(N100="","",ROUND(N100*(1-IF($R100="",$U$6,$R100)),2))</f>
        <v/>
      </c>
      <c r="U100" s="28">
        <f>IF(O100="","",ROUND(O100*(1-IF($R100="",$U$6,$R100)),2))</f>
        <v/>
      </c>
      <c r="V100" s="27">
        <f>IF(S100="","",S100-J100)</f>
        <v/>
      </c>
      <c r="W100" s="27">
        <f>IF(T100="","",T100-K100)</f>
        <v/>
      </c>
      <c r="X100" s="27">
        <f>IF(U100="","",U100-L100)</f>
        <v/>
      </c>
      <c r="Y100" s="30">
        <f>IF(OR(S100="",S100=0),"",V100/S100)</f>
        <v/>
      </c>
      <c r="Z100" s="30">
        <f>IF(OR(T100="",T100=0),"",W100/T100)</f>
        <v/>
      </c>
      <c r="AA100" s="30">
        <f>IF(OR(U100="",U100=0),"",X100/U100)</f>
        <v/>
      </c>
    </row>
    <row r="101">
      <c r="A101" s="19" t="inlineStr">
        <is>
          <t>AKMSH03-W</t>
        </is>
      </c>
      <c r="B101" s="20">
        <f>IFERROR(INDEX(Conversion!$C$2:$C$500,MATCH($A101,Conversion!$B$2:$B$500,0)),"NOT ASSIGNED")</f>
        <v/>
      </c>
      <c r="C101" s="21" t="inlineStr">
        <is>
          <t>Brass spray head black, white handgrip</t>
        </is>
      </c>
      <c r="D101" s="22" t="inlineStr">
        <is>
          <t>Twistflow WD Nozzle, w/ handle, black head / white handle, brass</t>
        </is>
      </c>
      <c r="E101" s="23" t="n">
        <v>0.525</v>
      </c>
      <c r="F101" s="24" t="inlineStr">
        <is>
          <t>Cat p.54 (head + brass handle)</t>
        </is>
      </c>
      <c r="G101" s="25" t="n">
        <v>40.971216</v>
      </c>
      <c r="H101" s="25" t="n">
        <v>35.849814</v>
      </c>
      <c r="I101" s="25" t="n">
        <v>33.289113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  <c r="R101" s="8" t="n"/>
      <c r="S101" s="28">
        <f>IF(M101="","",ROUND(M101*(1-IF($R101="",$U$6,$R101)),2))</f>
        <v/>
      </c>
      <c r="T101" s="28">
        <f>IF(N101="","",ROUND(N101*(1-IF($R101="",$U$6,$R101)),2))</f>
        <v/>
      </c>
      <c r="U101" s="28">
        <f>IF(O101="","",ROUND(O101*(1-IF($R101="",$U$6,$R101)),2))</f>
        <v/>
      </c>
      <c r="V101" s="27">
        <f>IF(S101="","",S101-J101)</f>
        <v/>
      </c>
      <c r="W101" s="27">
        <f>IF(T101="","",T101-K101)</f>
        <v/>
      </c>
      <c r="X101" s="27">
        <f>IF(U101="","",U101-L101)</f>
        <v/>
      </c>
      <c r="Y101" s="30">
        <f>IF(OR(S101="",S101=0),"",V101/S101)</f>
        <v/>
      </c>
      <c r="Z101" s="30">
        <f>IF(OR(T101="",T101=0),"",W101/T101)</f>
        <v/>
      </c>
      <c r="AA101" s="30">
        <f>IF(OR(U101="",U101=0),"",X101/U101)</f>
        <v/>
      </c>
    </row>
    <row r="102">
      <c r="A102" s="19" t="inlineStr">
        <is>
          <t>AKMSHH4-BL</t>
        </is>
      </c>
      <c r="B102" s="20">
        <f>IFERROR(INDEX(Conversion!$C$2:$C$500,MATCH($A102,Conversion!$B$2:$B$500,0)),"NOT ASSIGNED")</f>
        <v/>
      </c>
      <c r="C102" s="21" t="inlineStr">
        <is>
          <t>Spray head in brass, black with EPDM &amp; Clipperlon seals</t>
        </is>
      </c>
      <c r="D102" s="22" t="inlineStr">
        <is>
          <t>Twistflow WD Nozzle, head only, 1/2" M, black, brass</t>
        </is>
      </c>
      <c r="E102" s="23" t="n">
        <v>0.2</v>
      </c>
      <c r="F102" s="24" t="inlineStr">
        <is>
          <t>Cat p.54 (head only)</t>
        </is>
      </c>
      <c r="G102" s="25" t="n">
        <v>30.457504</v>
      </c>
      <c r="H102" s="25" t="n">
        <v>26.650316</v>
      </c>
      <c r="I102" s="25" t="n">
        <v>24.746722</v>
      </c>
      <c r="J102" s="27">
        <f>IF(G102="","",G102/$C$5*(1+$C$8)+$E102*(1+$C$7)*$C$6)</f>
        <v/>
      </c>
      <c r="K102" s="27">
        <f>IF(H102="","",H102/$C$5*(1+$C$8)+$E102*(1+$C$7)*$C$6)</f>
        <v/>
      </c>
      <c r="L102" s="27">
        <f>IF(I102="","",I102/$C$5*(1+$C$8)+$E102*(1+$C$7)*$C$6)</f>
        <v/>
      </c>
      <c r="M102" s="28">
        <f>IF(J102="","",ROUND(J102*(1+$C$9),2))</f>
        <v/>
      </c>
      <c r="N102" s="28">
        <f>IF(K102="","",ROUND(K102*(1+$C$9),2))</f>
        <v/>
      </c>
      <c r="O102" s="28">
        <f>IF(L102="","",ROUND(L102*(1+$C$9),2))</f>
        <v/>
      </c>
      <c r="P102" s="29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  <c r="R102" s="8" t="n"/>
      <c r="S102" s="28">
        <f>IF(M102="","",ROUND(M102*(1-IF($R102="",$U$6,$R102)),2))</f>
        <v/>
      </c>
      <c r="T102" s="28">
        <f>IF(N102="","",ROUND(N102*(1-IF($R102="",$U$6,$R102)),2))</f>
        <v/>
      </c>
      <c r="U102" s="28">
        <f>IF(O102="","",ROUND(O102*(1-IF($R102="",$U$6,$R102)),2))</f>
        <v/>
      </c>
      <c r="V102" s="27">
        <f>IF(S102="","",S102-J102)</f>
        <v/>
      </c>
      <c r="W102" s="27">
        <f>IF(T102="","",T102-K102)</f>
        <v/>
      </c>
      <c r="X102" s="27">
        <f>IF(U102="","",U102-L102)</f>
        <v/>
      </c>
      <c r="Y102" s="30">
        <f>IF(OR(S102="",S102=0),"",V102/S102)</f>
        <v/>
      </c>
      <c r="Z102" s="30">
        <f>IF(OR(T102="",T102=0),"",W102/T102)</f>
        <v/>
      </c>
      <c r="AA102" s="30">
        <f>IF(OR(U102="",U102=0),"",X102/U102)</f>
        <v/>
      </c>
    </row>
    <row r="103"/>
    <row r="104">
      <c r="A104" s="19" t="inlineStr">
        <is>
          <t>AKRSH03-B</t>
        </is>
      </c>
      <c r="B104" s="20">
        <f>IFERROR(INDEX(Conversion!$C$2:$C$500,MATCH($A104,Conversion!$B$2:$B$500,0)),"NOT ASSIGNED")</f>
        <v/>
      </c>
      <c r="C104" s="21" t="inlineStr">
        <is>
          <t>St.st. spray head black, blue handgrip</t>
        </is>
      </c>
      <c r="D104" s="22" t="inlineStr">
        <is>
          <t>Twistflow WD Nozzle, w/ handle, black head / blue handle, stainless steel</t>
        </is>
      </c>
      <c r="E104" s="23" t="n">
        <v>0.55</v>
      </c>
      <c r="F104" s="24" t="inlineStr">
        <is>
          <t>Cat p.54 (head + st.st. handle)</t>
        </is>
      </c>
      <c r="G104" s="25" t="n">
        <v>47.117312</v>
      </c>
      <c r="H104" s="25" t="n">
        <v>41.227648</v>
      </c>
      <c r="I104" s="25" t="n">
        <v>38.282816</v>
      </c>
      <c r="J104" s="27">
        <f>IF(G104="","",G104/$C$5*(1+$C$8)+$E104*(1+$C$7)*$C$6)</f>
        <v/>
      </c>
      <c r="K104" s="27">
        <f>IF(H104="","",H104/$C$5*(1+$C$8)+$E104*(1+$C$7)*$C$6)</f>
        <v/>
      </c>
      <c r="L104" s="27">
        <f>IF(I104="","",I104/$C$5*(1+$C$8)+$E104*(1+$C$7)*$C$6)</f>
        <v/>
      </c>
      <c r="M104" s="28">
        <f>IF(J104="","",ROUND(J104*(1+$C$9),2))</f>
        <v/>
      </c>
      <c r="N104" s="28">
        <f>IF(K104="","",ROUND(K104*(1+$C$9),2))</f>
        <v/>
      </c>
      <c r="O104" s="28">
        <f>IF(L104="","",ROUND(L104*(1+$C$9),2))</f>
        <v/>
      </c>
      <c r="P104" s="29">
        <f>TRIM(IF($B104="NOT ASSIGNED","No NW part no. ","")&amp;IFERROR(IF(INDEX(Conversion!$J$2:$J$500,MATCH($A104,Conversion!$B$2:$B$500,0))="Needs review","Conversion table: needs review. ",""),"")&amp;IF(LEFT($F104,8)="ESTIMATE","Weight estimated. ","")&amp;"")</f>
        <v/>
      </c>
      <c r="R104" s="8" t="n"/>
      <c r="S104" s="28">
        <f>IF(M104="","",ROUND(M104*(1-IF($R104="",$U$6,$R104)),2))</f>
        <v/>
      </c>
      <c r="T104" s="28">
        <f>IF(N104="","",ROUND(N104*(1-IF($R104="",$U$6,$R104)),2))</f>
        <v/>
      </c>
      <c r="U104" s="28">
        <f>IF(O104="","",ROUND(O104*(1-IF($R104="",$U$6,$R104)),2))</f>
        <v/>
      </c>
      <c r="V104" s="27">
        <f>IF(S104="","",S104-J104)</f>
        <v/>
      </c>
      <c r="W104" s="27">
        <f>IF(T104="","",T104-K104)</f>
        <v/>
      </c>
      <c r="X104" s="27">
        <f>IF(U104="","",U104-L104)</f>
        <v/>
      </c>
      <c r="Y104" s="30">
        <f>IF(OR(S104="",S104=0),"",V104/S104)</f>
        <v/>
      </c>
      <c r="Z104" s="30">
        <f>IF(OR(T104="",T104=0),"",W104/T104)</f>
        <v/>
      </c>
      <c r="AA104" s="30">
        <f>IF(OR(U104="",U104=0),"",X104/U104)</f>
        <v/>
      </c>
    </row>
    <row r="105">
      <c r="A105" s="19" t="inlineStr">
        <is>
          <t>AKRSH03-R</t>
        </is>
      </c>
      <c r="B105" s="20">
        <f>IFERROR(INDEX(Conversion!$C$2:$C$500,MATCH($A105,Conversion!$B$2:$B$500,0)),"NOT ASSIGNED")</f>
        <v/>
      </c>
      <c r="C105" s="21" t="inlineStr">
        <is>
          <t>St.st. spray head black, red handgrip</t>
        </is>
      </c>
      <c r="D105" s="22" t="inlineStr">
        <is>
          <t>Twistflow WD Nozzle, w/ handle, black head / red handle, stainless steel</t>
        </is>
      </c>
      <c r="E105" s="23" t="n">
        <v>0.55</v>
      </c>
      <c r="F105" s="24" t="inlineStr">
        <is>
          <t>Cat p.54 (head + st.st. handle)</t>
        </is>
      </c>
      <c r="G105" s="25" t="n">
        <v>47.117312</v>
      </c>
      <c r="H105" s="25" t="n">
        <v>41.227648</v>
      </c>
      <c r="I105" s="25" t="n">
        <v>38.282816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  <c r="R105" s="8" t="n"/>
      <c r="S105" s="28">
        <f>IF(M105="","",ROUND(M105*(1-IF($R105="",$U$6,$R105)),2))</f>
        <v/>
      </c>
      <c r="T105" s="28">
        <f>IF(N105="","",ROUND(N105*(1-IF($R105="",$U$6,$R105)),2))</f>
        <v/>
      </c>
      <c r="U105" s="28">
        <f>IF(O105="","",ROUND(O105*(1-IF($R105="",$U$6,$R105)),2))</f>
        <v/>
      </c>
      <c r="V105" s="27">
        <f>IF(S105="","",S105-J105)</f>
        <v/>
      </c>
      <c r="W105" s="27">
        <f>IF(T105="","",T105-K105)</f>
        <v/>
      </c>
      <c r="X105" s="27">
        <f>IF(U105="","",U105-L105)</f>
        <v/>
      </c>
      <c r="Y105" s="30">
        <f>IF(OR(S105="",S105=0),"",V105/S105)</f>
        <v/>
      </c>
      <c r="Z105" s="30">
        <f>IF(OR(T105="",T105=0),"",W105/T105)</f>
        <v/>
      </c>
      <c r="AA105" s="30">
        <f>IF(OR(U105="",U105=0),"",X105/U105)</f>
        <v/>
      </c>
    </row>
    <row r="106">
      <c r="A106" s="19" t="inlineStr">
        <is>
          <t>AKRSH03-W</t>
        </is>
      </c>
      <c r="B106" s="20">
        <f>IFERROR(INDEX(Conversion!$C$2:$C$500,MATCH($A106,Conversion!$B$2:$B$500,0)),"NOT ASSIGNED")</f>
        <v/>
      </c>
      <c r="C106" s="21" t="inlineStr">
        <is>
          <t>St.st. spray head black, white handgrip</t>
        </is>
      </c>
      <c r="D106" s="22" t="inlineStr">
        <is>
          <t>Twistflow WD Nozzle, w/ handle, black head / white handle, stainless steel</t>
        </is>
      </c>
      <c r="E106" s="23" t="n">
        <v>0.55</v>
      </c>
      <c r="F106" s="24" t="inlineStr">
        <is>
          <t>Cat p.54 (head + st.st. handle)</t>
        </is>
      </c>
      <c r="G106" s="25" t="n">
        <v>47.117312</v>
      </c>
      <c r="H106" s="25" t="n">
        <v>41.227648</v>
      </c>
      <c r="I106" s="25" t="n">
        <v>38.282816</v>
      </c>
      <c r="J106" s="27">
        <f>IF(G106="","",G106/$C$5*(1+$C$8)+$E106*(1+$C$7)*$C$6)</f>
        <v/>
      </c>
      <c r="K106" s="27">
        <f>IF(H106="","",H106/$C$5*(1+$C$8)+$E106*(1+$C$7)*$C$6)</f>
        <v/>
      </c>
      <c r="L106" s="27">
        <f>IF(I106="","",I106/$C$5*(1+$C$8)+$E106*(1+$C$7)*$C$6)</f>
        <v/>
      </c>
      <c r="M106" s="28">
        <f>IF(J106="","",ROUND(J106*(1+$C$9),2))</f>
        <v/>
      </c>
      <c r="N106" s="28">
        <f>IF(K106="","",ROUND(K106*(1+$C$9),2))</f>
        <v/>
      </c>
      <c r="O106" s="28">
        <f>IF(L106="","",ROUND(L106*(1+$C$9),2))</f>
        <v/>
      </c>
      <c r="P106" s="29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  <c r="R106" s="8" t="n"/>
      <c r="S106" s="28">
        <f>IF(M106="","",ROUND(M106*(1-IF($R106="",$U$6,$R106)),2))</f>
        <v/>
      </c>
      <c r="T106" s="28">
        <f>IF(N106="","",ROUND(N106*(1-IF($R106="",$U$6,$R106)),2))</f>
        <v/>
      </c>
      <c r="U106" s="28">
        <f>IF(O106="","",ROUND(O106*(1-IF($R106="",$U$6,$R106)),2))</f>
        <v/>
      </c>
      <c r="V106" s="27">
        <f>IF(S106="","",S106-J106)</f>
        <v/>
      </c>
      <c r="W106" s="27">
        <f>IF(T106="","",T106-K106)</f>
        <v/>
      </c>
      <c r="X106" s="27">
        <f>IF(U106="","",U106-L106)</f>
        <v/>
      </c>
      <c r="Y106" s="30">
        <f>IF(OR(S106="",S106=0),"",V106/S106)</f>
        <v/>
      </c>
      <c r="Z106" s="30">
        <f>IF(OR(T106="",T106=0),"",W106/T106)</f>
        <v/>
      </c>
      <c r="AA106" s="30">
        <f>IF(OR(U106="",U106=0),"",X106/U106)</f>
        <v/>
      </c>
    </row>
    <row r="107">
      <c r="A107" s="19" t="inlineStr">
        <is>
          <t>AKRSHW3-W</t>
        </is>
      </c>
      <c r="B107" s="20">
        <f>IFERROR(INDEX(Conversion!$C$2:$C$500,MATCH($A107,Conversion!$B$2:$B$500,0)),"NOT ASSIGNED")</f>
        <v/>
      </c>
      <c r="C107" s="21" t="inlineStr">
        <is>
          <t>St.st. spray head white, white handgrip</t>
        </is>
      </c>
      <c r="D107" s="22" t="inlineStr">
        <is>
          <t>Twistflow WD Nozzle, w/ handle, white head / white handle, stainless steel</t>
        </is>
      </c>
      <c r="E107" s="23" t="n">
        <v>0.55</v>
      </c>
      <c r="F107" s="24" t="inlineStr">
        <is>
          <t>Cat p.54 (head + st.st. handle)</t>
        </is>
      </c>
      <c r="G107" s="25" t="n">
        <v>48.134768</v>
      </c>
      <c r="H107" s="25" t="n">
        <v>42.117922</v>
      </c>
      <c r="I107" s="25" t="n">
        <v>39.109499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  <c r="R107" s="8" t="n"/>
      <c r="S107" s="28">
        <f>IF(M107="","",ROUND(M107*(1-IF($R107="",$U$6,$R107)),2))</f>
        <v/>
      </c>
      <c r="T107" s="28">
        <f>IF(N107="","",ROUND(N107*(1-IF($R107="",$U$6,$R107)),2))</f>
        <v/>
      </c>
      <c r="U107" s="28">
        <f>IF(O107="","",ROUND(O107*(1-IF($R107="",$U$6,$R107)),2))</f>
        <v/>
      </c>
      <c r="V107" s="27">
        <f>IF(S107="","",S107-J107)</f>
        <v/>
      </c>
      <c r="W107" s="27">
        <f>IF(T107="","",T107-K107)</f>
        <v/>
      </c>
      <c r="X107" s="27">
        <f>IF(U107="","",U107-L107)</f>
        <v/>
      </c>
      <c r="Y107" s="30">
        <f>IF(OR(S107="",S107=0),"",V107/S107)</f>
        <v/>
      </c>
      <c r="Z107" s="30">
        <f>IF(OR(T107="",T107=0),"",W107/T107)</f>
        <v/>
      </c>
      <c r="AA107" s="30">
        <f>IF(OR(U107="",U107=0),"",X107/U107)</f>
        <v/>
      </c>
    </row>
    <row r="108">
      <c r="A108" s="19" t="inlineStr">
        <is>
          <t>AKRSHH4-BL</t>
        </is>
      </c>
      <c r="B108" s="20">
        <f>IFERROR(INDEX(Conversion!$C$2:$C$500,MATCH($A108,Conversion!$B$2:$B$500,0)),"NOT ASSIGNED")</f>
        <v/>
      </c>
      <c r="C108" s="21" t="inlineStr">
        <is>
          <t>Spray head in stainless steel, black with EPDM &amp; Clipperlon seals</t>
        </is>
      </c>
      <c r="D108" s="22" t="inlineStr">
        <is>
          <t>Twistflow WD Nozzle, head only, 1/2" M, black, stainless steel</t>
        </is>
      </c>
      <c r="E108" s="23" t="n">
        <v>0.2</v>
      </c>
      <c r="F108" s="24" t="inlineStr">
        <is>
          <t>Cat p.54 (head only)</t>
        </is>
      </c>
      <c r="G108" s="25" t="n">
        <v>36.553968</v>
      </c>
      <c r="H108" s="25" t="n">
        <v>31.984722</v>
      </c>
      <c r="I108" s="25" t="n">
        <v>29.700099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  <c r="R108" s="8" t="n"/>
      <c r="S108" s="28">
        <f>IF(M108="","",ROUND(M108*(1-IF($R108="",$U$6,$R108)),2))</f>
        <v/>
      </c>
      <c r="T108" s="28">
        <f>IF(N108="","",ROUND(N108*(1-IF($R108="",$U$6,$R108)),2))</f>
        <v/>
      </c>
      <c r="U108" s="28">
        <f>IF(O108="","",ROUND(O108*(1-IF($R108="",$U$6,$R108)),2))</f>
        <v/>
      </c>
      <c r="V108" s="27">
        <f>IF(S108="","",S108-J108)</f>
        <v/>
      </c>
      <c r="W108" s="27">
        <f>IF(T108="","",T108-K108)</f>
        <v/>
      </c>
      <c r="X108" s="27">
        <f>IF(U108="","",U108-L108)</f>
        <v/>
      </c>
      <c r="Y108" s="30">
        <f>IF(OR(S108="",S108=0),"",V108/S108)</f>
        <v/>
      </c>
      <c r="Z108" s="30">
        <f>IF(OR(T108="",T108=0),"",W108/T108)</f>
        <v/>
      </c>
      <c r="AA108" s="30">
        <f>IF(OR(U108="",U108=0),"",X108/U108)</f>
        <v/>
      </c>
    </row>
    <row r="109">
      <c r="A109" s="19" t="inlineStr">
        <is>
          <t>AKRSHH4-W</t>
        </is>
      </c>
      <c r="B109" s="20">
        <f>IFERROR(INDEX(Conversion!$C$2:$C$500,MATCH($A109,Conversion!$B$2:$B$500,0)),"NOT ASSIGNED")</f>
        <v/>
      </c>
      <c r="C109" s="21" t="inlineStr">
        <is>
          <t>Spray head in stainless steel, white with EPDM &amp; Clipperlon seals</t>
        </is>
      </c>
      <c r="D109" s="22" t="inlineStr">
        <is>
          <t>Twistflow WD Nozzle, head only, 1/2" M, white, stainless steel</t>
        </is>
      </c>
      <c r="E109" s="23" t="n">
        <v>0.2</v>
      </c>
      <c r="F109" s="24" t="inlineStr">
        <is>
          <t>Cat p.54 (head only)</t>
        </is>
      </c>
      <c r="G109" s="25" t="n">
        <v>37.621056</v>
      </c>
      <c r="H109" s="25" t="n">
        <v>32.918424</v>
      </c>
      <c r="I109" s="25" t="n">
        <v>30.567108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  <c r="R109" s="8" t="n"/>
      <c r="S109" s="28">
        <f>IF(M109="","",ROUND(M109*(1-IF($R109="",$U$6,$R109)),2))</f>
        <v/>
      </c>
      <c r="T109" s="28">
        <f>IF(N109="","",ROUND(N109*(1-IF($R109="",$U$6,$R109)),2))</f>
        <v/>
      </c>
      <c r="U109" s="28">
        <f>IF(O109="","",ROUND(O109*(1-IF($R109="",$U$6,$R109)),2))</f>
        <v/>
      </c>
      <c r="V109" s="27">
        <f>IF(S109="","",S109-J109)</f>
        <v/>
      </c>
      <c r="W109" s="27">
        <f>IF(T109="","",T109-K109)</f>
        <v/>
      </c>
      <c r="X109" s="27">
        <f>IF(U109="","",U109-L109)</f>
        <v/>
      </c>
      <c r="Y109" s="30">
        <f>IF(OR(S109="",S109=0),"",V109/S109)</f>
        <v/>
      </c>
      <c r="Z109" s="30">
        <f>IF(OR(T109="",T109=0),"",W109/T109)</f>
        <v/>
      </c>
      <c r="AA109" s="30">
        <f>IF(OR(U109="",U109=0),"",X109/U109)</f>
        <v/>
      </c>
    </row>
    <row r="110"/>
    <row r="111">
      <c r="A111" s="19" t="inlineStr">
        <is>
          <t>AKNSH01-B</t>
        </is>
      </c>
      <c r="B111" s="20">
        <f>IFERROR(INDEX(Conversion!$C$2:$C$500,MATCH($A111,Conversion!$B$2:$B$500,0)),"NOT ASSIGNED")</f>
        <v/>
      </c>
      <c r="C111" s="21" t="inlineStr">
        <is>
          <t>Light weight spray head, blue, 3/4" BSP male</t>
        </is>
      </c>
      <c r="D111" s="22" t="inlineStr">
        <is>
          <t>Twistflow-L Lite nozzle, 3/4" M, blue, polypropylene</t>
        </is>
      </c>
      <c r="E111" s="23" t="n">
        <v>0.245</v>
      </c>
      <c r="F111" s="24" t="inlineStr">
        <is>
          <t>Cat p.56</t>
        </is>
      </c>
      <c r="G111" s="25" t="n">
        <v>29.067808</v>
      </c>
      <c r="H111" s="25" t="n">
        <v>25.434332</v>
      </c>
      <c r="I111" s="25" t="n">
        <v>23.617594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  <c r="R111" s="8" t="n"/>
      <c r="S111" s="28">
        <f>IF(M111="","",ROUND(M111*(1-IF($R111="",$U$6,$R111)),2))</f>
        <v/>
      </c>
      <c r="T111" s="28">
        <f>IF(N111="","",ROUND(N111*(1-IF($R111="",$U$6,$R111)),2))</f>
        <v/>
      </c>
      <c r="U111" s="28">
        <f>IF(O111="","",ROUND(O111*(1-IF($R111="",$U$6,$R111)),2))</f>
        <v/>
      </c>
      <c r="V111" s="27">
        <f>IF(S111="","",S111-J111)</f>
        <v/>
      </c>
      <c r="W111" s="27">
        <f>IF(T111="","",T111-K111)</f>
        <v/>
      </c>
      <c r="X111" s="27">
        <f>IF(U111="","",U111-L111)</f>
        <v/>
      </c>
      <c r="Y111" s="30">
        <f>IF(OR(S111="",S111=0),"",V111/S111)</f>
        <v/>
      </c>
      <c r="Z111" s="30">
        <f>IF(OR(T111="",T111=0),"",W111/T111)</f>
        <v/>
      </c>
      <c r="AA111" s="30">
        <f>IF(OR(U111="",U111=0),"",X111/U111)</f>
        <v/>
      </c>
    </row>
    <row r="112"/>
    <row r="113">
      <c r="A113" s="19" t="inlineStr">
        <is>
          <t>AKMSHHL1-BL</t>
        </is>
      </c>
      <c r="B113" s="20">
        <f>IFERROR(INDEX(Conversion!$C$2:$C$500,MATCH($A113,Conversion!$B$2:$B$500,0)),"NOT ASSIGNED")</f>
        <v/>
      </c>
      <c r="C113" s="21" t="inlineStr">
        <is>
          <t>Brass water saving spray head, black</t>
        </is>
      </c>
      <c r="D113" s="22" t="inlineStr">
        <is>
          <t>Twistflow Lite WD Nozzle, head only, 1/2" M, black, brass</t>
        </is>
      </c>
      <c r="E113" s="31" t="n">
        <v>0.21</v>
      </c>
      <c r="F113" s="24" t="inlineStr">
        <is>
          <t>ESTIMATE - AKMSHL1-B 510 g less GRIPML1-B 300 g (p.53/55)</t>
        </is>
      </c>
      <c r="G113" s="25" t="n">
        <v>19.513648</v>
      </c>
      <c r="H113" s="25" t="n">
        <v>17.074442</v>
      </c>
      <c r="I113" s="25" t="n">
        <v>15.854839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  <c r="R113" s="8" t="n"/>
      <c r="S113" s="28">
        <f>IF(M113="","",ROUND(M113*(1-IF($R113="",$U$6,$R113)),2))</f>
        <v/>
      </c>
      <c r="T113" s="28">
        <f>IF(N113="","",ROUND(N113*(1-IF($R113="",$U$6,$R113)),2))</f>
        <v/>
      </c>
      <c r="U113" s="28">
        <f>IF(O113="","",ROUND(O113*(1-IF($R113="",$U$6,$R113)),2))</f>
        <v/>
      </c>
      <c r="V113" s="27">
        <f>IF(S113="","",S113-J113)</f>
        <v/>
      </c>
      <c r="W113" s="27">
        <f>IF(T113="","",T113-K113)</f>
        <v/>
      </c>
      <c r="X113" s="27">
        <f>IF(U113="","",U113-L113)</f>
        <v/>
      </c>
      <c r="Y113" s="30">
        <f>IF(OR(S113="",S113=0),"",V113/S113)</f>
        <v/>
      </c>
      <c r="Z113" s="30">
        <f>IF(OR(T113="",T113=0),"",W113/T113)</f>
        <v/>
      </c>
      <c r="AA113" s="30">
        <f>IF(OR(U113="",U113=0),"",X113/U113)</f>
        <v/>
      </c>
    </row>
    <row r="114">
      <c r="A114" s="19" t="inlineStr">
        <is>
          <t>AKMSHL1-B</t>
        </is>
      </c>
      <c r="B114" s="20">
        <f>IFERROR(INDEX(Conversion!$C$2:$C$500,MATCH($A114,Conversion!$B$2:$B$500,0)),"NOT ASSIGNED")</f>
        <v/>
      </c>
      <c r="C114" s="21" t="inlineStr">
        <is>
          <t>Brass water saving spray head with handgrip, blue</t>
        </is>
      </c>
      <c r="D114" s="22" t="inlineStr">
        <is>
          <t>Twistflow Lite WD Nozzle, w/ handle, blue, brass</t>
        </is>
      </c>
      <c r="E114" s="23" t="n">
        <v>0.51</v>
      </c>
      <c r="F114" s="24" t="inlineStr">
        <is>
          <t>Cat p.53</t>
        </is>
      </c>
      <c r="G114" s="25" t="n">
        <v>31.6404</v>
      </c>
      <c r="H114" s="25" t="n">
        <v>27.68535</v>
      </c>
      <c r="I114" s="25" t="n">
        <v>25.707825</v>
      </c>
      <c r="J114" s="27">
        <f>IF(G114="","",G114/$C$5*(1+$C$8)+$E114*(1+$C$7)*$C$6)</f>
        <v/>
      </c>
      <c r="K114" s="27">
        <f>IF(H114="","",H114/$C$5*(1+$C$8)+$E114*(1+$C$7)*$C$6)</f>
        <v/>
      </c>
      <c r="L114" s="27">
        <f>IF(I114="","",I114/$C$5*(1+$C$8)+$E114*(1+$C$7)*$C$6)</f>
        <v/>
      </c>
      <c r="M114" s="28">
        <f>IF(J114="","",ROUND(J114*(1+$C$9),2))</f>
        <v/>
      </c>
      <c r="N114" s="28">
        <f>IF(K114="","",ROUND(K114*(1+$C$9),2))</f>
        <v/>
      </c>
      <c r="O114" s="28">
        <f>IF(L114="","",ROUND(L114*(1+$C$9),2))</f>
        <v/>
      </c>
      <c r="P114" s="29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  <c r="R114" s="8" t="n"/>
      <c r="S114" s="28">
        <f>IF(M114="","",ROUND(M114*(1-IF($R114="",$U$6,$R114)),2))</f>
        <v/>
      </c>
      <c r="T114" s="28">
        <f>IF(N114="","",ROUND(N114*(1-IF($R114="",$U$6,$R114)),2))</f>
        <v/>
      </c>
      <c r="U114" s="28">
        <f>IF(O114="","",ROUND(O114*(1-IF($R114="",$U$6,$R114)),2))</f>
        <v/>
      </c>
      <c r="V114" s="27">
        <f>IF(S114="","",S114-J114)</f>
        <v/>
      </c>
      <c r="W114" s="27">
        <f>IF(T114="","",T114-K114)</f>
        <v/>
      </c>
      <c r="X114" s="27">
        <f>IF(U114="","",U114-L114)</f>
        <v/>
      </c>
      <c r="Y114" s="30">
        <f>IF(OR(S114="",S114=0),"",V114/S114)</f>
        <v/>
      </c>
      <c r="Z114" s="30">
        <f>IF(OR(T114="",T114=0),"",W114/T114)</f>
        <v/>
      </c>
      <c r="AA114" s="30">
        <f>IF(OR(U114="",U114=0),"",X114/U114)</f>
        <v/>
      </c>
    </row>
    <row r="115">
      <c r="A115" s="19" t="inlineStr">
        <is>
          <t>AKRSHHL1-BL</t>
        </is>
      </c>
      <c r="B115" s="20">
        <f>IFERROR(INDEX(Conversion!$C$2:$C$500,MATCH($A115,Conversion!$B$2:$B$500,0)),"NOT ASSIGNED")</f>
        <v/>
      </c>
      <c r="C115" s="21" t="inlineStr">
        <is>
          <t>St. st. water saving spray head, black</t>
        </is>
      </c>
      <c r="D115" s="22" t="inlineStr">
        <is>
          <t>Twistflow Lite WD Nozzle, head only, 1/2" M, black, stainless steel 304</t>
        </is>
      </c>
      <c r="E115" s="31" t="n">
        <v>0.21</v>
      </c>
      <c r="F115" s="24" t="inlineStr">
        <is>
          <t>ESTIMATE - AKRSHL1-B 550 g less GRIPRL1-B 340 g (p.53/55)</t>
        </is>
      </c>
      <c r="G115" s="25" t="n">
        <v>31.954736</v>
      </c>
      <c r="H115" s="25" t="n">
        <v>27.960394</v>
      </c>
      <c r="I115" s="25" t="n">
        <v>25.963223</v>
      </c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  <c r="R115" s="8" t="n"/>
      <c r="S115" s="28">
        <f>IF(M115="","",ROUND(M115*(1-IF($R115="",$U$6,$R115)),2))</f>
        <v/>
      </c>
      <c r="T115" s="28">
        <f>IF(N115="","",ROUND(N115*(1-IF($R115="",$U$6,$R115)),2))</f>
        <v/>
      </c>
      <c r="U115" s="28">
        <f>IF(O115="","",ROUND(O115*(1-IF($R115="",$U$6,$R115)),2))</f>
        <v/>
      </c>
      <c r="V115" s="27">
        <f>IF(S115="","",S115-J115)</f>
        <v/>
      </c>
      <c r="W115" s="27">
        <f>IF(T115="","",T115-K115)</f>
        <v/>
      </c>
      <c r="X115" s="27">
        <f>IF(U115="","",U115-L115)</f>
        <v/>
      </c>
      <c r="Y115" s="30">
        <f>IF(OR(S115="",S115=0),"",V115/S115)</f>
        <v/>
      </c>
      <c r="Z115" s="30">
        <f>IF(OR(T115="",T115=0),"",W115/T115)</f>
        <v/>
      </c>
      <c r="AA115" s="30">
        <f>IF(OR(U115="",U115=0),"",X115/U115)</f>
        <v/>
      </c>
    </row>
    <row r="116">
      <c r="A116" s="19" t="inlineStr">
        <is>
          <t>AKRSHL1-B</t>
        </is>
      </c>
      <c r="B116" s="20">
        <f>IFERROR(INDEX(Conversion!$C$2:$C$500,MATCH($A116,Conversion!$B$2:$B$500,0)),"NOT ASSIGNED")</f>
        <v/>
      </c>
      <c r="C116" s="21" t="inlineStr">
        <is>
          <t>St. st. water saving spray head with handgrip, blue</t>
        </is>
      </c>
      <c r="D116" s="22" t="inlineStr">
        <is>
          <t>Twistflow Lite WD Nozzle, w/ handle, blue, stainless steel 304</t>
        </is>
      </c>
      <c r="E116" s="23" t="n">
        <v>0.55</v>
      </c>
      <c r="F116" s="24" t="inlineStr">
        <is>
          <t>Cat p.53</t>
        </is>
      </c>
      <c r="G116" s="25" t="n">
        <v>41.996944</v>
      </c>
      <c r="H116" s="25" t="n">
        <v>36.747326</v>
      </c>
      <c r="I116" s="25" t="n">
        <v>34.122517</v>
      </c>
      <c r="J116" s="27">
        <f>IF(G116="","",G116/$C$5*(1+$C$8)+$E116*(1+$C$7)*$C$6)</f>
        <v/>
      </c>
      <c r="K116" s="27">
        <f>IF(H116="","",H116/$C$5*(1+$C$8)+$E116*(1+$C$7)*$C$6)</f>
        <v/>
      </c>
      <c r="L116" s="27">
        <f>IF(I116="","",I116/$C$5*(1+$C$8)+$E116*(1+$C$7)*$C$6)</f>
        <v/>
      </c>
      <c r="M116" s="28">
        <f>IF(J116="","",ROUND(J116*(1+$C$9),2))</f>
        <v/>
      </c>
      <c r="N116" s="28">
        <f>IF(K116="","",ROUND(K116*(1+$C$9),2))</f>
        <v/>
      </c>
      <c r="O116" s="28">
        <f>IF(L116="","",ROUND(L116*(1+$C$9),2))</f>
        <v/>
      </c>
      <c r="P116" s="29">
        <f>TRIM(IF($B116="NOT ASSIGNED","No NW part no. ","")&amp;IFERROR(IF(INDEX(Conversion!$J$2:$J$500,MATCH($A116,Conversion!$B$2:$B$500,0))="Needs review","Conversion table: needs review. ",""),"")&amp;IF(LEFT($F116,8)="ESTIMATE","Weight estimated. ","")&amp;"")</f>
        <v/>
      </c>
      <c r="R116" s="8" t="n"/>
      <c r="S116" s="28">
        <f>IF(M116="","",ROUND(M116*(1-IF($R116="",$U$6,$R116)),2))</f>
        <v/>
      </c>
      <c r="T116" s="28">
        <f>IF(N116="","",ROUND(N116*(1-IF($R116="",$U$6,$R116)),2))</f>
        <v/>
      </c>
      <c r="U116" s="28">
        <f>IF(O116="","",ROUND(O116*(1-IF($R116="",$U$6,$R116)),2))</f>
        <v/>
      </c>
      <c r="V116" s="27">
        <f>IF(S116="","",S116-J116)</f>
        <v/>
      </c>
      <c r="W116" s="27">
        <f>IF(T116="","",T116-K116)</f>
        <v/>
      </c>
      <c r="X116" s="27">
        <f>IF(U116="","",U116-L116)</f>
        <v/>
      </c>
      <c r="Y116" s="30">
        <f>IF(OR(S116="",S116=0),"",V116/S116)</f>
        <v/>
      </c>
      <c r="Z116" s="30">
        <f>IF(OR(T116="",T116=0),"",W116/T116)</f>
        <v/>
      </c>
      <c r="AA116" s="30">
        <f>IF(OR(U116="",U116=0),"",X116/U116)</f>
        <v/>
      </c>
    </row>
    <row r="117">
      <c r="A117" s="19" t="inlineStr">
        <is>
          <t>AKRSHL1-W</t>
        </is>
      </c>
      <c r="B117" s="20">
        <f>IFERROR(INDEX(Conversion!$C$2:$C$500,MATCH($A117,Conversion!$B$2:$B$500,0)),"NOT ASSIGNED")</f>
        <v/>
      </c>
      <c r="C117" s="21" t="inlineStr">
        <is>
          <t>St. st. water saving spray head with handgrip, white</t>
        </is>
      </c>
      <c r="D117" s="22" t="inlineStr">
        <is>
          <t>Twistflow Lite WD Nozzle, w/ handle, white, stainless steel 304</t>
        </is>
      </c>
      <c r="E117" s="23" t="n">
        <v>0.55</v>
      </c>
      <c r="F117" s="24" t="inlineStr">
        <is>
          <t>Cat p.53 (as AKRSHL1-B)</t>
        </is>
      </c>
      <c r="G117" s="25" t="n">
        <v>41.996944</v>
      </c>
      <c r="H117" s="25" t="n">
        <v>36.747326</v>
      </c>
      <c r="I117" s="25" t="n">
        <v>34.122517</v>
      </c>
      <c r="J117" s="27">
        <f>IF(G117="","",G117/$C$5*(1+$C$8)+$E117*(1+$C$7)*$C$6)</f>
        <v/>
      </c>
      <c r="K117" s="27">
        <f>IF(H117="","",H117/$C$5*(1+$C$8)+$E117*(1+$C$7)*$C$6)</f>
        <v/>
      </c>
      <c r="L117" s="27">
        <f>IF(I117="","",I117/$C$5*(1+$C$8)+$E117*(1+$C$7)*$C$6)</f>
        <v/>
      </c>
      <c r="M117" s="28">
        <f>IF(J117="","",ROUND(J117*(1+$C$9),2))</f>
        <v/>
      </c>
      <c r="N117" s="28">
        <f>IF(K117="","",ROUND(K117*(1+$C$9),2))</f>
        <v/>
      </c>
      <c r="O117" s="28">
        <f>IF(L117="","",ROUND(L117*(1+$C$9),2))</f>
        <v/>
      </c>
      <c r="P117" s="29">
        <f>TRIM(IF($B117="NOT ASSIGNED","No NW part no. ","")&amp;IFERROR(IF(INDEX(Conversion!$J$2:$J$500,MATCH($A117,Conversion!$B$2:$B$500,0))="Needs review","Conversion table: needs review. ",""),"")&amp;IF(LEFT($F117,8)="ESTIMATE","Weight estimated. ","")&amp;"")</f>
        <v/>
      </c>
      <c r="R117" s="8" t="n"/>
      <c r="S117" s="28">
        <f>IF(M117="","",ROUND(M117*(1-IF($R117="",$U$6,$R117)),2))</f>
        <v/>
      </c>
      <c r="T117" s="28">
        <f>IF(N117="","",ROUND(N117*(1-IF($R117="",$U$6,$R117)),2))</f>
        <v/>
      </c>
      <c r="U117" s="28">
        <f>IF(O117="","",ROUND(O117*(1-IF($R117="",$U$6,$R117)),2))</f>
        <v/>
      </c>
      <c r="V117" s="27">
        <f>IF(S117="","",S117-J117)</f>
        <v/>
      </c>
      <c r="W117" s="27">
        <f>IF(T117="","",T117-K117)</f>
        <v/>
      </c>
      <c r="X117" s="27">
        <f>IF(U117="","",U117-L117)</f>
        <v/>
      </c>
      <c r="Y117" s="30">
        <f>IF(OR(S117="",S117=0),"",V117/S117)</f>
        <v/>
      </c>
      <c r="Z117" s="30">
        <f>IF(OR(T117="",T117=0),"",W117/T117)</f>
        <v/>
      </c>
      <c r="AA117" s="30">
        <f>IF(OR(U117="",U117=0),"",X117/U117)</f>
        <v/>
      </c>
    </row>
    <row r="118"/>
    <row r="119">
      <c r="A119" s="19" t="inlineStr">
        <is>
          <t>TWRWR02M</t>
        </is>
      </c>
      <c r="B119" s="20">
        <f>IFERROR(INDEX(Conversion!$C$2:$C$500,MATCH($A119,Conversion!$B$2:$B$500,0)),"NOT ASSIGNED")</f>
        <v/>
      </c>
      <c r="C119" s="21" t="inlineStr">
        <is>
          <t>St. st. industrial spray head Twister M, white with red protection, inlet 1/2" BSP male</t>
        </is>
      </c>
      <c r="D119" s="22" t="inlineStr">
        <is>
          <t>Twistflow M WD Nozzle, 1/2" BSPP M, 60° cone, white / red guard, stainless steel 304</t>
        </is>
      </c>
      <c r="E119" s="23" t="n">
        <v>0.345</v>
      </c>
      <c r="F119" s="24" t="inlineStr">
        <is>
          <t>Cat p.57</t>
        </is>
      </c>
      <c r="G119" s="25" t="n">
        <v>47.307568</v>
      </c>
      <c r="H119" s="25" t="n">
        <v>41.394122</v>
      </c>
      <c r="I119" s="25" t="n">
        <v>38.437399</v>
      </c>
      <c r="J119" s="27">
        <f>IF(G119="","",G119/$C$5*(1+$C$8)+$E119*(1+$C$7)*$C$6)</f>
        <v/>
      </c>
      <c r="K119" s="27">
        <f>IF(H119="","",H119/$C$5*(1+$C$8)+$E119*(1+$C$7)*$C$6)</f>
        <v/>
      </c>
      <c r="L119" s="27">
        <f>IF(I119="","",I119/$C$5*(1+$C$8)+$E119*(1+$C$7)*$C$6)</f>
        <v/>
      </c>
      <c r="M119" s="28">
        <f>IF(J119="","",ROUND(J119*(1+$C$9),2))</f>
        <v/>
      </c>
      <c r="N119" s="28">
        <f>IF(K119="","",ROUND(K119*(1+$C$9),2))</f>
        <v/>
      </c>
      <c r="O119" s="28">
        <f>IF(L119="","",ROUND(L119*(1+$C$9),2))</f>
        <v/>
      </c>
      <c r="P119" s="29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  <c r="R119" s="8" t="n"/>
      <c r="S119" s="28">
        <f>IF(M119="","",ROUND(M119*(1-IF($R119="",$U$6,$R119)),2))</f>
        <v/>
      </c>
      <c r="T119" s="28">
        <f>IF(N119="","",ROUND(N119*(1-IF($R119="",$U$6,$R119)),2))</f>
        <v/>
      </c>
      <c r="U119" s="28">
        <f>IF(O119="","",ROUND(O119*(1-IF($R119="",$U$6,$R119)),2))</f>
        <v/>
      </c>
      <c r="V119" s="27">
        <f>IF(S119="","",S119-J119)</f>
        <v/>
      </c>
      <c r="W119" s="27">
        <f>IF(T119="","",T119-K119)</f>
        <v/>
      </c>
      <c r="X119" s="27">
        <f>IF(U119="","",U119-L119)</f>
        <v/>
      </c>
      <c r="Y119" s="30">
        <f>IF(OR(S119="",S119=0),"",V119/S119)</f>
        <v/>
      </c>
      <c r="Z119" s="30">
        <f>IF(OR(T119="",T119=0),"",W119/T119)</f>
        <v/>
      </c>
      <c r="AA119" s="30">
        <f>IF(OR(U119="",U119=0),"",X119/U119)</f>
        <v/>
      </c>
    </row>
    <row r="120">
      <c r="A120" s="19" t="inlineStr">
        <is>
          <t>TWRWR02L</t>
        </is>
      </c>
      <c r="B120" s="20">
        <f>IFERROR(INDEX(Conversion!$C$2:$C$500,MATCH($A120,Conversion!$B$2:$B$500,0)),"NOT ASSIGNED")</f>
        <v/>
      </c>
      <c r="C120" s="21" t="inlineStr">
        <is>
          <t>St. st. industrial spray head Twister L, white with red protection, inlet 3/4" BSP male</t>
        </is>
      </c>
      <c r="D120" s="22" t="inlineStr">
        <is>
          <t>Twistflow L WD Nozzle, 3/4" BSPP M, 60° cone, white / red guard, stainless steel 304</t>
        </is>
      </c>
      <c r="E120" s="23" t="n">
        <v>0.48</v>
      </c>
      <c r="F120" s="24" t="inlineStr">
        <is>
          <t>Cat p.57</t>
        </is>
      </c>
      <c r="G120" s="25" t="n">
        <v>56.406768</v>
      </c>
      <c r="H120" s="25" t="n">
        <v>49.355922</v>
      </c>
      <c r="I120" s="25" t="n">
        <v>45.830499</v>
      </c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  <c r="R120" s="8" t="n"/>
      <c r="S120" s="28">
        <f>IF(M120="","",ROUND(M120*(1-IF($R120="",$U$6,$R120)),2))</f>
        <v/>
      </c>
      <c r="T120" s="28">
        <f>IF(N120="","",ROUND(N120*(1-IF($R120="",$U$6,$R120)),2))</f>
        <v/>
      </c>
      <c r="U120" s="28">
        <f>IF(O120="","",ROUND(O120*(1-IF($R120="",$U$6,$R120)),2))</f>
        <v/>
      </c>
      <c r="V120" s="27">
        <f>IF(S120="","",S120-J120)</f>
        <v/>
      </c>
      <c r="W120" s="27">
        <f>IF(T120="","",T120-K120)</f>
        <v/>
      </c>
      <c r="X120" s="27">
        <f>IF(U120="","",U120-L120)</f>
        <v/>
      </c>
      <c r="Y120" s="30">
        <f>IF(OR(S120="",S120=0),"",V120/S120)</f>
        <v/>
      </c>
      <c r="Z120" s="30">
        <f>IF(OR(T120="",T120=0),"",W120/T120)</f>
        <v/>
      </c>
      <c r="AA120" s="30">
        <f>IF(OR(U120="",U120=0),"",X120/U120)</f>
        <v/>
      </c>
    </row>
    <row r="121">
      <c r="A121" s="19" t="inlineStr">
        <is>
          <t>TWRWR02XL</t>
        </is>
      </c>
      <c r="B121" s="20">
        <f>IFERROR(INDEX(Conversion!$C$2:$C$500,MATCH($A121,Conversion!$B$2:$B$500,0)),"NOT ASSIGNED")</f>
        <v/>
      </c>
      <c r="C121" s="21" t="inlineStr">
        <is>
          <t>St. st. industrial spray head Twister XL, white with red protection, inlet 1" BSP male</t>
        </is>
      </c>
      <c r="D121" s="22" t="inlineStr">
        <is>
          <t>Twistflow XL WD Nozzle, 1" BSPP M, 60° cone, white / red guard, stainless steel 304</t>
        </is>
      </c>
      <c r="E121" s="23" t="n">
        <v>0.8</v>
      </c>
      <c r="F121" s="24" t="inlineStr">
        <is>
          <t>Cat p.57</t>
        </is>
      </c>
      <c r="G121" s="25" t="n">
        <v>60.046448</v>
      </c>
      <c r="H121" s="25" t="n">
        <v>52.540642</v>
      </c>
      <c r="I121" s="25" t="n">
        <v>48.787739</v>
      </c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  <c r="R121" s="8" t="n"/>
      <c r="S121" s="28">
        <f>IF(M121="","",ROUND(M121*(1-IF($R121="",$U$6,$R121)),2))</f>
        <v/>
      </c>
      <c r="T121" s="28">
        <f>IF(N121="","",ROUND(N121*(1-IF($R121="",$U$6,$R121)),2))</f>
        <v/>
      </c>
      <c r="U121" s="28">
        <f>IF(O121="","",ROUND(O121*(1-IF($R121="",$U$6,$R121)),2))</f>
        <v/>
      </c>
      <c r="V121" s="27">
        <f>IF(S121="","",S121-J121)</f>
        <v/>
      </c>
      <c r="W121" s="27">
        <f>IF(T121="","",T121-K121)</f>
        <v/>
      </c>
      <c r="X121" s="27">
        <f>IF(U121="","",U121-L121)</f>
        <v/>
      </c>
      <c r="Y121" s="30">
        <f>IF(OR(S121="",S121=0),"",V121/S121)</f>
        <v/>
      </c>
      <c r="Z121" s="30">
        <f>IF(OR(T121="",T121=0),"",W121/T121)</f>
        <v/>
      </c>
      <c r="AA121" s="30">
        <f>IF(OR(U121="",U121=0),"",X121/U121)</f>
        <v/>
      </c>
    </row>
    <row r="122"/>
    <row r="123">
      <c r="A123" s="19" t="inlineStr">
        <is>
          <t>AKAWLU1-B</t>
        </is>
      </c>
      <c r="B123" s="20">
        <f>IFERROR(INDEX(Conversion!$C$2:$C$500,MATCH($A123,Conversion!$B$2:$B$500,0)),"NOT ASSIGNED")</f>
        <v/>
      </c>
      <c r="C123" s="21" t="inlineStr">
        <is>
          <t>Air/water gun, blue</t>
        </is>
      </c>
      <c r="D123" s="22" t="inlineStr">
        <is>
          <t>Air-Boosted WD gun, 2x 10 mm hose tails (air &amp; water), blue, aluminium</t>
        </is>
      </c>
      <c r="E123" s="23" t="n">
        <v>0.8</v>
      </c>
      <c r="F123" s="24" t="inlineStr">
        <is>
          <t>Cat p.27</t>
        </is>
      </c>
      <c r="G123" s="25" t="n">
        <v>76.34999999999999</v>
      </c>
      <c r="H123" s="26" t="n"/>
      <c r="I123" s="25" t="n">
        <v>66.81</v>
      </c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","")&amp;"AKBO note at break 3: '20pcs 66,81' - price keyed in.")</f>
        <v/>
      </c>
      <c r="R123" s="8" t="n"/>
      <c r="S123" s="28">
        <f>IF(M123="","",ROUND(M123*(1-IF($R123="",$U$6,$R123)),2))</f>
        <v/>
      </c>
      <c r="T123" s="28">
        <f>IF(N123="","",ROUND(N123*(1-IF($R123="",$U$6,$R123)),2))</f>
        <v/>
      </c>
      <c r="U123" s="28">
        <f>IF(O123="","",ROUND(O123*(1-IF($R123="",$U$6,$R123)),2))</f>
        <v/>
      </c>
      <c r="V123" s="27">
        <f>IF(S123="","",S123-J123)</f>
        <v/>
      </c>
      <c r="W123" s="27">
        <f>IF(T123="","",T123-K123)</f>
        <v/>
      </c>
      <c r="X123" s="27">
        <f>IF(U123="","",U123-L123)</f>
        <v/>
      </c>
      <c r="Y123" s="30">
        <f>IF(OR(S123="",S123=0),"",V123/S123)</f>
        <v/>
      </c>
      <c r="Z123" s="30">
        <f>IF(OR(T123="",T123=0),"",W123/T123)</f>
        <v/>
      </c>
      <c r="AA123" s="30">
        <f>IF(OR(U123="",U123=0),"",X123/U123)</f>
        <v/>
      </c>
    </row>
    <row r="124"/>
    <row r="125">
      <c r="A125" s="16" t="inlineStr">
        <is>
          <t>Water Saver</t>
        </is>
      </c>
      <c r="B125" s="17" t="n"/>
      <c r="C125" s="17" t="n"/>
      <c r="D125" s="17" t="n"/>
      <c r="E125" s="17" t="n"/>
      <c r="F125" s="17" t="n"/>
      <c r="G125" s="18" t="inlineStr">
        <is>
          <t>&lt; 10 pcs</t>
        </is>
      </c>
      <c r="H125" s="18" t="inlineStr">
        <is>
          <t>≥ 10 pcs</t>
        </is>
      </c>
      <c r="I125" s="18" t="inlineStr">
        <is>
          <t>≥ 50 pcs</t>
        </is>
      </c>
      <c r="J125" s="18" t="inlineStr">
        <is>
          <t>&lt; 10 pcs</t>
        </is>
      </c>
      <c r="K125" s="18" t="inlineStr">
        <is>
          <t>≥ 10 pcs</t>
        </is>
      </c>
      <c r="L125" s="18" t="inlineStr">
        <is>
          <t>≥ 50 pcs</t>
        </is>
      </c>
      <c r="M125" s="18" t="inlineStr">
        <is>
          <t>&lt; 10 pcs</t>
        </is>
      </c>
      <c r="N125" s="18" t="inlineStr">
        <is>
          <t>≥ 10 pcs</t>
        </is>
      </c>
      <c r="O125" s="18" t="inlineStr">
        <is>
          <t>≥ 50 pcs</t>
        </is>
      </c>
      <c r="P125" s="17" t="n"/>
      <c r="R125" s="17" t="n"/>
      <c r="S125" s="18" t="inlineStr">
        <is>
          <t>&lt; 10 pcs</t>
        </is>
      </c>
      <c r="T125" s="18" t="inlineStr">
        <is>
          <t>≥ 10 pcs</t>
        </is>
      </c>
      <c r="U125" s="18" t="inlineStr">
        <is>
          <t>≥ 50 pcs</t>
        </is>
      </c>
      <c r="V125" s="18" t="inlineStr">
        <is>
          <t>&lt; 10 pcs</t>
        </is>
      </c>
      <c r="W125" s="18" t="inlineStr">
        <is>
          <t>≥ 10 pcs</t>
        </is>
      </c>
      <c r="X125" s="18" t="inlineStr">
        <is>
          <t>≥ 50 pcs</t>
        </is>
      </c>
      <c r="Y125" s="18" t="inlineStr">
        <is>
          <t>&lt; 10 pcs</t>
        </is>
      </c>
      <c r="Z125" s="18" t="inlineStr">
        <is>
          <t>≥ 10 pcs</t>
        </is>
      </c>
      <c r="AA125" s="18" t="inlineStr">
        <is>
          <t>≥ 50 pcs</t>
        </is>
      </c>
    </row>
    <row r="126">
      <c r="A126" s="19" t="inlineStr">
        <is>
          <t>AKWMS01</t>
        </is>
      </c>
      <c r="B126" s="20">
        <f>IFERROR(INDEX(Conversion!$C$2:$C$500,MATCH($A126,Conversion!$B$2:$B$500,0)),"NOT ASSIGNED")</f>
        <v/>
      </c>
      <c r="C126" s="21" t="inlineStr">
        <is>
          <t>Water saver brass; model S; 3/4" female</t>
        </is>
      </c>
      <c r="D126" s="22" t="inlineStr">
        <is>
          <t>Water Saver nozzle, model S, flat spray, 3/4" F, brass</t>
        </is>
      </c>
      <c r="E126" s="31" t="n">
        <v>0.3</v>
      </c>
      <c r="F126" s="24" t="inlineStr">
        <is>
          <t>ESTIMATE - weight not in catalogue (p.45)</t>
        </is>
      </c>
      <c r="G126" s="25" t="n">
        <v>34.803</v>
      </c>
      <c r="H126" s="25" t="n">
        <v>30.94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  <c r="R126" s="8" t="n"/>
      <c r="S126" s="28">
        <f>IF(M126="","",ROUND(M126*(1-IF($R126="",$U$6,$R126)),2))</f>
        <v/>
      </c>
      <c r="T126" s="28">
        <f>IF(N126="","",ROUND(N126*(1-IF($R126="",$U$6,$R126)),2))</f>
        <v/>
      </c>
      <c r="U126" s="28">
        <f>IF(O126="","",ROUND(O126*(1-IF($R126="",$U$6,$R126)),2))</f>
        <v/>
      </c>
      <c r="V126" s="27">
        <f>IF(S126="","",S126-J126)</f>
        <v/>
      </c>
      <c r="W126" s="27">
        <f>IF(T126="","",T126-K126)</f>
        <v/>
      </c>
      <c r="X126" s="27">
        <f>IF(U126="","",U126-L126)</f>
        <v/>
      </c>
      <c r="Y126" s="30">
        <f>IF(OR(S126="",S126=0),"",V126/S126)</f>
        <v/>
      </c>
      <c r="Z126" s="30">
        <f>IF(OR(T126="",T126=0),"",W126/T126)</f>
        <v/>
      </c>
      <c r="AA126" s="30">
        <f>IF(OR(U126="",U126=0),"",X126/U126)</f>
        <v/>
      </c>
    </row>
    <row r="127">
      <c r="A127" s="19" t="inlineStr">
        <is>
          <t>AKWMM01</t>
        </is>
      </c>
      <c r="B127" s="20">
        <f>IFERROR(INDEX(Conversion!$C$2:$C$500,MATCH($A127,Conversion!$B$2:$B$500,0)),"NOT ASSIGNED")</f>
        <v/>
      </c>
      <c r="C127" s="21" t="inlineStr">
        <is>
          <t>Water saver brass; model M; 3/4" female</t>
        </is>
      </c>
      <c r="D127" s="22" t="inlineStr">
        <is>
          <t>Water Saver nozzle, model M, 13 mm orifice, 3/4" F, brass</t>
        </is>
      </c>
      <c r="E127" s="31" t="n">
        <v>0.3</v>
      </c>
      <c r="F127" s="24" t="inlineStr">
        <is>
          <t>ESTIMATE - weight not in catalogue (p.45)</t>
        </is>
      </c>
      <c r="G127" s="25" t="n">
        <v>34.803</v>
      </c>
      <c r="H127" s="25" t="n">
        <v>30.94</v>
      </c>
      <c r="I127" s="26" t="n"/>
      <c r="J127" s="27">
        <f>IF(G127="","",G127/$C$5*(1+$C$8)+$E127*(1+$C$7)*$C$6)</f>
        <v/>
      </c>
      <c r="K127" s="27">
        <f>IF(H127="","",H127/$C$5*(1+$C$8)+$E127*(1+$C$7)*$C$6)</f>
        <v/>
      </c>
      <c r="L127" s="27">
        <f>IF(I127="","",I127/$C$5*(1+$C$8)+$E127*(1+$C$7)*$C$6)</f>
        <v/>
      </c>
      <c r="M127" s="28">
        <f>IF(J127="","",ROUND(J127*(1+$C$9),2))</f>
        <v/>
      </c>
      <c r="N127" s="28">
        <f>IF(K127="","",ROUND(K127*(1+$C$9),2))</f>
        <v/>
      </c>
      <c r="O127" s="28">
        <f>IF(L127="","",ROUND(L127*(1+$C$9),2))</f>
        <v/>
      </c>
      <c r="P127" s="29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  <c r="R127" s="8" t="n"/>
      <c r="S127" s="28">
        <f>IF(M127="","",ROUND(M127*(1-IF($R127="",$U$6,$R127)),2))</f>
        <v/>
      </c>
      <c r="T127" s="28">
        <f>IF(N127="","",ROUND(N127*(1-IF($R127="",$U$6,$R127)),2))</f>
        <v/>
      </c>
      <c r="U127" s="28">
        <f>IF(O127="","",ROUND(O127*(1-IF($R127="",$U$6,$R127)),2))</f>
        <v/>
      </c>
      <c r="V127" s="27">
        <f>IF(S127="","",S127-J127)</f>
        <v/>
      </c>
      <c r="W127" s="27">
        <f>IF(T127="","",T127-K127)</f>
        <v/>
      </c>
      <c r="X127" s="27">
        <f>IF(U127="","",U127-L127)</f>
        <v/>
      </c>
      <c r="Y127" s="30">
        <f>IF(OR(S127="",S127=0),"",V127/S127)</f>
        <v/>
      </c>
      <c r="Z127" s="30">
        <f>IF(OR(T127="",T127=0),"",W127/T127)</f>
        <v/>
      </c>
      <c r="AA127" s="30">
        <f>IF(OR(U127="",U127=0),"",X127/U127)</f>
        <v/>
      </c>
    </row>
    <row r="128">
      <c r="A128" s="19" t="inlineStr">
        <is>
          <t>AKWML01</t>
        </is>
      </c>
      <c r="B128" s="20">
        <f>IFERROR(INDEX(Conversion!$C$2:$C$500,MATCH($A128,Conversion!$B$2:$B$500,0)),"NOT ASSIGNED")</f>
        <v/>
      </c>
      <c r="C128" s="21" t="inlineStr">
        <is>
          <t>Water saver brass; model L; 3/4" female</t>
        </is>
      </c>
      <c r="D128" s="22" t="inlineStr">
        <is>
          <t>Water Saver nozzle, model L, 9 mm orifice, 3/4" F, brass</t>
        </is>
      </c>
      <c r="E128" s="31" t="n">
        <v>0.3</v>
      </c>
      <c r="F128" s="24" t="inlineStr">
        <is>
          <t>ESTIMATE - weight not in catalogue (p.45)</t>
        </is>
      </c>
      <c r="G128" s="25" t="n">
        <v>34.803</v>
      </c>
      <c r="H128" s="25" t="n">
        <v>30.94</v>
      </c>
      <c r="I128" s="26" t="n"/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  <c r="R128" s="8" t="n"/>
      <c r="S128" s="28">
        <f>IF(M128="","",ROUND(M128*(1-IF($R128="",$U$6,$R128)),2))</f>
        <v/>
      </c>
      <c r="T128" s="28">
        <f>IF(N128="","",ROUND(N128*(1-IF($R128="",$U$6,$R128)),2))</f>
        <v/>
      </c>
      <c r="U128" s="28">
        <f>IF(O128="","",ROUND(O128*(1-IF($R128="",$U$6,$R128)),2))</f>
        <v/>
      </c>
      <c r="V128" s="27">
        <f>IF(S128="","",S128-J128)</f>
        <v/>
      </c>
      <c r="W128" s="27">
        <f>IF(T128="","",T128-K128)</f>
        <v/>
      </c>
      <c r="X128" s="27">
        <f>IF(U128="","",U128-L128)</f>
        <v/>
      </c>
      <c r="Y128" s="30">
        <f>IF(OR(S128="",S128=0),"",V128/S128)</f>
        <v/>
      </c>
      <c r="Z128" s="30">
        <f>IF(OR(T128="",T128=0),"",W128/T128)</f>
        <v/>
      </c>
      <c r="AA128" s="30">
        <f>IF(OR(U128="",U128=0),"",X128/U128)</f>
        <v/>
      </c>
    </row>
    <row r="129">
      <c r="A129" s="19" t="inlineStr">
        <is>
          <t>AKWMR01</t>
        </is>
      </c>
      <c r="B129" s="20">
        <f>IFERROR(INDEX(Conversion!$C$2:$C$500,MATCH($A129,Conversion!$B$2:$B$500,0)),"NOT ASSIGNED")</f>
        <v/>
      </c>
      <c r="C129" s="21" t="inlineStr">
        <is>
          <t>Water saver brass; model R; 3/4" female</t>
        </is>
      </c>
      <c r="D129" s="22" t="inlineStr">
        <is>
          <t>Water Saver nozzle, model R, 4.5 mm orifice, 3/4" F, brass</t>
        </is>
      </c>
      <c r="E129" s="31" t="n">
        <v>0.3</v>
      </c>
      <c r="F129" s="24" t="inlineStr">
        <is>
          <t>ESTIMATE - weight not in catalogue (p.45)</t>
        </is>
      </c>
      <c r="G129" s="25" t="n">
        <v>34.803</v>
      </c>
      <c r="H129" s="25" t="n">
        <v>30.94</v>
      </c>
      <c r="I129" s="26" t="n"/>
      <c r="J129" s="27">
        <f>IF(G129="","",G129/$C$5*(1+$C$8)+$E129*(1+$C$7)*$C$6)</f>
        <v/>
      </c>
      <c r="K129" s="27">
        <f>IF(H129="","",H129/$C$5*(1+$C$8)+$E129*(1+$C$7)*$C$6)</f>
        <v/>
      </c>
      <c r="L129" s="27">
        <f>IF(I129="","",I129/$C$5*(1+$C$8)+$E129*(1+$C$7)*$C$6)</f>
        <v/>
      </c>
      <c r="M129" s="28">
        <f>IF(J129="","",ROUND(J129*(1+$C$9),2))</f>
        <v/>
      </c>
      <c r="N129" s="28">
        <f>IF(K129="","",ROUND(K129*(1+$C$9),2))</f>
        <v/>
      </c>
      <c r="O129" s="28">
        <f>IF(L129="","",ROUND(L129*(1+$C$9),2))</f>
        <v/>
      </c>
      <c r="P129" s="29">
        <f>TRIM(IF($B129="NOT ASSIGNED","No NW part no. ","")&amp;IFERROR(IF(INDEX(Conversion!$J$2:$J$500,MATCH($A129,Conversion!$B$2:$B$500,0))="Needs review","Conversion table: needs review. ",""),"")&amp;IF(LEFT($F129,8)="ESTIMATE","Weight estimated. ","")&amp;"")</f>
        <v/>
      </c>
      <c r="R129" s="8" t="n"/>
      <c r="S129" s="28">
        <f>IF(M129="","",ROUND(M129*(1-IF($R129="",$U$6,$R129)),2))</f>
        <v/>
      </c>
      <c r="T129" s="28">
        <f>IF(N129="","",ROUND(N129*(1-IF($R129="",$U$6,$R129)),2))</f>
        <v/>
      </c>
      <c r="U129" s="28">
        <f>IF(O129="","",ROUND(O129*(1-IF($R129="",$U$6,$R129)),2))</f>
        <v/>
      </c>
      <c r="V129" s="27">
        <f>IF(S129="","",S129-J129)</f>
        <v/>
      </c>
      <c r="W129" s="27">
        <f>IF(T129="","",T129-K129)</f>
        <v/>
      </c>
      <c r="X129" s="27">
        <f>IF(U129="","",U129-L129)</f>
        <v/>
      </c>
      <c r="Y129" s="30">
        <f>IF(OR(S129="",S129=0),"",V129/S129)</f>
        <v/>
      </c>
      <c r="Z129" s="30">
        <f>IF(OR(T129="",T129=0),"",W129/T129)</f>
        <v/>
      </c>
      <c r="AA129" s="30">
        <f>IF(OR(U129="",U129=0),"",X129/U129)</f>
        <v/>
      </c>
    </row>
    <row r="130"/>
    <row r="131">
      <c r="A131" s="19" t="inlineStr">
        <is>
          <t>AKWRS01</t>
        </is>
      </c>
      <c r="B131" s="20">
        <f>IFERROR(INDEX(Conversion!$C$2:$C$500,MATCH($A131,Conversion!$B$2:$B$500,0)),"NOT ASSIGNED")</f>
        <v/>
      </c>
      <c r="C131" s="21" t="inlineStr">
        <is>
          <t>Water saver stainless steel; model S; 3/4" female</t>
        </is>
      </c>
      <c r="D131" s="22" t="inlineStr">
        <is>
          <t>Water Saver nozzle, model S, flat spray, 3/4" F, stainless steel 304</t>
        </is>
      </c>
      <c r="E131" s="31" t="n">
        <v>0.3</v>
      </c>
      <c r="F131" s="24" t="inlineStr">
        <is>
          <t>ESTIMATE - weight not in catalogue (p.45)</t>
        </is>
      </c>
      <c r="G131" s="25" t="n">
        <v>88.84128</v>
      </c>
      <c r="H131" s="25" t="n">
        <v>83.28870000000001</v>
      </c>
      <c r="I131" s="26" t="n"/>
      <c r="J131" s="27">
        <f>IF(G131="","",G131/$C$5*(1+$C$8)+$E131*(1+$C$7)*$C$6)</f>
        <v/>
      </c>
      <c r="K131" s="27">
        <f>IF(H131="","",H131/$C$5*(1+$C$8)+$E131*(1+$C$7)*$C$6)</f>
        <v/>
      </c>
      <c r="L131" s="27">
        <f>IF(I131="","",I131/$C$5*(1+$C$8)+$E131*(1+$C$7)*$C$6)</f>
        <v/>
      </c>
      <c r="M131" s="28">
        <f>IF(J131="","",ROUND(J131*(1+$C$9),2))</f>
        <v/>
      </c>
      <c r="N131" s="28">
        <f>IF(K131="","",ROUND(K131*(1+$C$9),2))</f>
        <v/>
      </c>
      <c r="O131" s="28">
        <f>IF(L131="","",ROUND(L131*(1+$C$9),2))</f>
        <v/>
      </c>
      <c r="P131" s="29">
        <f>TRIM(IF($B131="NOT ASSIGNED","No NW part no. ","")&amp;IFERROR(IF(INDEX(Conversion!$J$2:$J$500,MATCH($A131,Conversion!$B$2:$B$500,0))="Needs review","Conversion table: needs review. ",""),"")&amp;IF(LEFT($F131,8)="ESTIMATE","Weight estimated. ","")&amp;"")</f>
        <v/>
      </c>
      <c r="R131" s="8" t="n"/>
      <c r="S131" s="28">
        <f>IF(M131="","",ROUND(M131*(1-IF($R131="",$U$6,$R131)),2))</f>
        <v/>
      </c>
      <c r="T131" s="28">
        <f>IF(N131="","",ROUND(N131*(1-IF($R131="",$U$6,$R131)),2))</f>
        <v/>
      </c>
      <c r="U131" s="28">
        <f>IF(O131="","",ROUND(O131*(1-IF($R131="",$U$6,$R131)),2))</f>
        <v/>
      </c>
      <c r="V131" s="27">
        <f>IF(S131="","",S131-J131)</f>
        <v/>
      </c>
      <c r="W131" s="27">
        <f>IF(T131="","",T131-K131)</f>
        <v/>
      </c>
      <c r="X131" s="27">
        <f>IF(U131="","",U131-L131)</f>
        <v/>
      </c>
      <c r="Y131" s="30">
        <f>IF(OR(S131="",S131=0),"",V131/S131)</f>
        <v/>
      </c>
      <c r="Z131" s="30">
        <f>IF(OR(T131="",T131=0),"",W131/T131)</f>
        <v/>
      </c>
      <c r="AA131" s="30">
        <f>IF(OR(U131="",U131=0),"",X131/U131)</f>
        <v/>
      </c>
    </row>
    <row r="132">
      <c r="A132" s="19" t="inlineStr">
        <is>
          <t>AKWRM01</t>
        </is>
      </c>
      <c r="B132" s="20">
        <f>IFERROR(INDEX(Conversion!$C$2:$C$500,MATCH($A132,Conversion!$B$2:$B$500,0)),"NOT ASSIGNED")</f>
        <v/>
      </c>
      <c r="C132" s="21" t="inlineStr">
        <is>
          <t>Water saver stainless steel; model M; 3/4" female</t>
        </is>
      </c>
      <c r="D132" s="22" t="inlineStr">
        <is>
          <t>Water Saver nozzle, model M, 13 mm orifice, 3/4" F, stainless steel 304</t>
        </is>
      </c>
      <c r="E132" s="31" t="n">
        <v>0.3</v>
      </c>
      <c r="F132" s="24" t="inlineStr">
        <is>
          <t>ESTIMATE - weight not in catalogue (p.45)</t>
        </is>
      </c>
      <c r="G132" s="25" t="n">
        <v>88.84128</v>
      </c>
      <c r="H132" s="25" t="n">
        <v>83.28870000000001</v>
      </c>
      <c r="I132" s="26" t="n"/>
      <c r="J132" s="27">
        <f>IF(G132="","",G132/$C$5*(1+$C$8)+$E132*(1+$C$7)*$C$6)</f>
        <v/>
      </c>
      <c r="K132" s="27">
        <f>IF(H132="","",H132/$C$5*(1+$C$8)+$E132*(1+$C$7)*$C$6)</f>
        <v/>
      </c>
      <c r="L132" s="27">
        <f>IF(I132="","",I132/$C$5*(1+$C$8)+$E132*(1+$C$7)*$C$6)</f>
        <v/>
      </c>
      <c r="M132" s="28">
        <f>IF(J132="","",ROUND(J132*(1+$C$9),2))</f>
        <v/>
      </c>
      <c r="N132" s="28">
        <f>IF(K132="","",ROUND(K132*(1+$C$9),2))</f>
        <v/>
      </c>
      <c r="O132" s="28">
        <f>IF(L132="","",ROUND(L132*(1+$C$9),2))</f>
        <v/>
      </c>
      <c r="P132" s="29">
        <f>TRIM(IF($B132="NOT ASSIGNED","No NW part no. ","")&amp;IFERROR(IF(INDEX(Conversion!$J$2:$J$500,MATCH($A132,Conversion!$B$2:$B$500,0))="Needs review","Conversion table: needs review. ",""),"")&amp;IF(LEFT($F132,8)="ESTIMATE","Weight estimated. ","")&amp;"")</f>
        <v/>
      </c>
      <c r="R132" s="8" t="n"/>
      <c r="S132" s="28">
        <f>IF(M132="","",ROUND(M132*(1-IF($R132="",$U$6,$R132)),2))</f>
        <v/>
      </c>
      <c r="T132" s="28">
        <f>IF(N132="","",ROUND(N132*(1-IF($R132="",$U$6,$R132)),2))</f>
        <v/>
      </c>
      <c r="U132" s="28">
        <f>IF(O132="","",ROUND(O132*(1-IF($R132="",$U$6,$R132)),2))</f>
        <v/>
      </c>
      <c r="V132" s="27">
        <f>IF(S132="","",S132-J132)</f>
        <v/>
      </c>
      <c r="W132" s="27">
        <f>IF(T132="","",T132-K132)</f>
        <v/>
      </c>
      <c r="X132" s="27">
        <f>IF(U132="","",U132-L132)</f>
        <v/>
      </c>
      <c r="Y132" s="30">
        <f>IF(OR(S132="",S132=0),"",V132/S132)</f>
        <v/>
      </c>
      <c r="Z132" s="30">
        <f>IF(OR(T132="",T132=0),"",W132/T132)</f>
        <v/>
      </c>
      <c r="AA132" s="30">
        <f>IF(OR(U132="",U132=0),"",X132/U132)</f>
        <v/>
      </c>
    </row>
    <row r="133">
      <c r="A133" s="19" t="inlineStr">
        <is>
          <t>AKWRL01</t>
        </is>
      </c>
      <c r="B133" s="20">
        <f>IFERROR(INDEX(Conversion!$C$2:$C$500,MATCH($A133,Conversion!$B$2:$B$500,0)),"NOT ASSIGNED")</f>
        <v/>
      </c>
      <c r="C133" s="21" t="inlineStr">
        <is>
          <t>Water saver stainless steel; model L; 3/4" female</t>
        </is>
      </c>
      <c r="D133" s="22" t="inlineStr">
        <is>
          <t>Water Saver nozzle, model L, 9 mm orifice, 3/4" F, stainless steel 304</t>
        </is>
      </c>
      <c r="E133" s="31" t="n">
        <v>0.3</v>
      </c>
      <c r="F133" s="24" t="inlineStr">
        <is>
          <t>ESTIMATE - weight not in catalogue (p.45)</t>
        </is>
      </c>
      <c r="G133" s="25" t="n">
        <v>88.84128</v>
      </c>
      <c r="H133" s="25" t="n">
        <v>83.28870000000001</v>
      </c>
      <c r="I133" s="26" t="n"/>
      <c r="J133" s="27">
        <f>IF(G133="","",G133/$C$5*(1+$C$8)+$E133*(1+$C$7)*$C$6)</f>
        <v/>
      </c>
      <c r="K133" s="27">
        <f>IF(H133="","",H133/$C$5*(1+$C$8)+$E133*(1+$C$7)*$C$6)</f>
        <v/>
      </c>
      <c r="L133" s="27">
        <f>IF(I133="","",I133/$C$5*(1+$C$8)+$E133*(1+$C$7)*$C$6)</f>
        <v/>
      </c>
      <c r="M133" s="28">
        <f>IF(J133="","",ROUND(J133*(1+$C$9),2))</f>
        <v/>
      </c>
      <c r="N133" s="28">
        <f>IF(K133="","",ROUND(K133*(1+$C$9),2))</f>
        <v/>
      </c>
      <c r="O133" s="28">
        <f>IF(L133="","",ROUND(L133*(1+$C$9),2))</f>
        <v/>
      </c>
      <c r="P133" s="29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  <c r="R133" s="8" t="n"/>
      <c r="S133" s="28">
        <f>IF(M133="","",ROUND(M133*(1-IF($R133="",$U$6,$R133)),2))</f>
        <v/>
      </c>
      <c r="T133" s="28">
        <f>IF(N133="","",ROUND(N133*(1-IF($R133="",$U$6,$R133)),2))</f>
        <v/>
      </c>
      <c r="U133" s="28">
        <f>IF(O133="","",ROUND(O133*(1-IF($R133="",$U$6,$R133)),2))</f>
        <v/>
      </c>
      <c r="V133" s="27">
        <f>IF(S133="","",S133-J133)</f>
        <v/>
      </c>
      <c r="W133" s="27">
        <f>IF(T133="","",T133-K133)</f>
        <v/>
      </c>
      <c r="X133" s="27">
        <f>IF(U133="","",U133-L133)</f>
        <v/>
      </c>
      <c r="Y133" s="30">
        <f>IF(OR(S133="",S133=0),"",V133/S133)</f>
        <v/>
      </c>
      <c r="Z133" s="30">
        <f>IF(OR(T133="",T133=0),"",W133/T133)</f>
        <v/>
      </c>
      <c r="AA133" s="30">
        <f>IF(OR(U133="",U133=0),"",X133/U133)</f>
        <v/>
      </c>
    </row>
    <row r="134">
      <c r="A134" s="19" t="inlineStr">
        <is>
          <t>AKWRR01</t>
        </is>
      </c>
      <c r="B134" s="20">
        <f>IFERROR(INDEX(Conversion!$C$2:$C$500,MATCH($A134,Conversion!$B$2:$B$500,0)),"NOT ASSIGNED")</f>
        <v/>
      </c>
      <c r="C134" s="21" t="inlineStr">
        <is>
          <t>Water saver stainless steel; model R; 3/4" female</t>
        </is>
      </c>
      <c r="D134" s="22" t="inlineStr">
        <is>
          <t>Water Saver nozzle, model R, 4.5 mm orifice, 3/4" F, stainless steel 304</t>
        </is>
      </c>
      <c r="E134" s="31" t="n">
        <v>0.3</v>
      </c>
      <c r="F134" s="24" t="inlineStr">
        <is>
          <t>ESTIMATE - weight not in catalogue (p.45)</t>
        </is>
      </c>
      <c r="G134" s="25" t="n">
        <v>88.84128</v>
      </c>
      <c r="H134" s="25" t="n">
        <v>83.28870000000001</v>
      </c>
      <c r="I134" s="26" t="n"/>
      <c r="J134" s="27">
        <f>IF(G134="","",G134/$C$5*(1+$C$8)+$E134*(1+$C$7)*$C$6)</f>
        <v/>
      </c>
      <c r="K134" s="27">
        <f>IF(H134="","",H134/$C$5*(1+$C$8)+$E134*(1+$C$7)*$C$6)</f>
        <v/>
      </c>
      <c r="L134" s="27">
        <f>IF(I134="","",I134/$C$5*(1+$C$8)+$E134*(1+$C$7)*$C$6)</f>
        <v/>
      </c>
      <c r="M134" s="28">
        <f>IF(J134="","",ROUND(J134*(1+$C$9),2))</f>
        <v/>
      </c>
      <c r="N134" s="28">
        <f>IF(K134="","",ROUND(K134*(1+$C$9),2))</f>
        <v/>
      </c>
      <c r="O134" s="28">
        <f>IF(L134="","",ROUND(L134*(1+$C$9),2))</f>
        <v/>
      </c>
      <c r="P134" s="29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  <c r="R134" s="8" t="n"/>
      <c r="S134" s="28">
        <f>IF(M134="","",ROUND(M134*(1-IF($R134="",$U$6,$R134)),2))</f>
        <v/>
      </c>
      <c r="T134" s="28">
        <f>IF(N134="","",ROUND(N134*(1-IF($R134="",$U$6,$R134)),2))</f>
        <v/>
      </c>
      <c r="U134" s="28">
        <f>IF(O134="","",ROUND(O134*(1-IF($R134="",$U$6,$R134)),2))</f>
        <v/>
      </c>
      <c r="V134" s="27">
        <f>IF(S134="","",S134-J134)</f>
        <v/>
      </c>
      <c r="W134" s="27">
        <f>IF(T134="","",T134-K134)</f>
        <v/>
      </c>
      <c r="X134" s="27">
        <f>IF(U134="","",U134-L134)</f>
        <v/>
      </c>
      <c r="Y134" s="30">
        <f>IF(OR(S134="",S134=0),"",V134/S134)</f>
        <v/>
      </c>
      <c r="Z134" s="30">
        <f>IF(OR(T134="",T134=0),"",W134/T134)</f>
        <v/>
      </c>
      <c r="AA134" s="30">
        <f>IF(OR(U134="",U134=0),"",X134/U134)</f>
        <v/>
      </c>
    </row>
    <row r="135"/>
    <row r="136">
      <c r="A136" s="19" t="inlineStr">
        <is>
          <t>BWNM045</t>
        </is>
      </c>
      <c r="B136" s="20">
        <f>IFERROR(INDEX(Conversion!$C$2:$C$500,MATCH($A136,Conversion!$B$2:$B$500,0)),"NOT ASSIGNED")</f>
        <v/>
      </c>
      <c r="C136" s="21" t="inlineStr">
        <is>
          <t>Economic Sprayer "Blue Nozzle" brass with EPDM, 4.5mm outlet</t>
        </is>
      </c>
      <c r="D136" s="22" t="inlineStr">
        <is>
          <t>Blue Nozzle sprayer, 4.5 mm outlet, 3/4" F, blue, brass</t>
        </is>
      </c>
      <c r="E136" s="31" t="n">
        <v>0.25</v>
      </c>
      <c r="F136" s="24" t="inlineStr">
        <is>
          <t>ESTIMATE - weight not in catalogue (p.46)</t>
        </is>
      </c>
      <c r="G136" s="25" t="n">
        <v>23.293952</v>
      </c>
      <c r="H136" s="25" t="n">
        <v>21.83808</v>
      </c>
      <c r="I136" s="25" t="n">
        <v>19.799859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  <c r="R136" s="8" t="n"/>
      <c r="S136" s="28">
        <f>IF(M136="","",ROUND(M136*(1-IF($R136="",$U$6,$R136)),2))</f>
        <v/>
      </c>
      <c r="T136" s="28">
        <f>IF(N136="","",ROUND(N136*(1-IF($R136="",$U$6,$R136)),2))</f>
        <v/>
      </c>
      <c r="U136" s="28">
        <f>IF(O136="","",ROUND(O136*(1-IF($R136="",$U$6,$R136)),2))</f>
        <v/>
      </c>
      <c r="V136" s="27">
        <f>IF(S136="","",S136-J136)</f>
        <v/>
      </c>
      <c r="W136" s="27">
        <f>IF(T136="","",T136-K136)</f>
        <v/>
      </c>
      <c r="X136" s="27">
        <f>IF(U136="","",U136-L136)</f>
        <v/>
      </c>
      <c r="Y136" s="30">
        <f>IF(OR(S136="",S136=0),"",V136/S136)</f>
        <v/>
      </c>
      <c r="Z136" s="30">
        <f>IF(OR(T136="",T136=0),"",W136/T136)</f>
        <v/>
      </c>
      <c r="AA136" s="30">
        <f>IF(OR(U136="",U136=0),"",X136/U136)</f>
        <v/>
      </c>
    </row>
    <row r="137"/>
    <row r="138">
      <c r="A138" s="16" t="inlineStr">
        <is>
          <t>Qty break</t>
        </is>
      </c>
      <c r="B138" s="17" t="n"/>
      <c r="C138" s="17" t="n"/>
      <c r="D138" s="17" t="n"/>
      <c r="E138" s="17" t="n"/>
      <c r="F138" s="17" t="n"/>
      <c r="G138" s="18" t="inlineStr">
        <is>
          <t>&lt; 10 pcs</t>
        </is>
      </c>
      <c r="H138" s="18" t="inlineStr">
        <is>
          <t>≥ 10 pcs</t>
        </is>
      </c>
      <c r="I138" s="18" t="inlineStr">
        <is>
          <t>≥ 50 pcs</t>
        </is>
      </c>
      <c r="J138" s="18" t="inlineStr">
        <is>
          <t>&lt; 10 pcs</t>
        </is>
      </c>
      <c r="K138" s="18" t="inlineStr">
        <is>
          <t>≥ 10 pcs</t>
        </is>
      </c>
      <c r="L138" s="18" t="inlineStr">
        <is>
          <t>≥ 50 pcs</t>
        </is>
      </c>
      <c r="M138" s="18" t="inlineStr">
        <is>
          <t>&lt; 10 pcs</t>
        </is>
      </c>
      <c r="N138" s="18" t="inlineStr">
        <is>
          <t>≥ 10 pcs</t>
        </is>
      </c>
      <c r="O138" s="18" t="inlineStr">
        <is>
          <t>≥ 50 pcs</t>
        </is>
      </c>
      <c r="P138" s="17" t="n"/>
      <c r="R138" s="17" t="n"/>
      <c r="S138" s="18" t="inlineStr">
        <is>
          <t>&lt; 10 pcs</t>
        </is>
      </c>
      <c r="T138" s="18" t="inlineStr">
        <is>
          <t>≥ 10 pcs</t>
        </is>
      </c>
      <c r="U138" s="18" t="inlineStr">
        <is>
          <t>≥ 50 pcs</t>
        </is>
      </c>
      <c r="V138" s="18" t="inlineStr">
        <is>
          <t>&lt; 10 pcs</t>
        </is>
      </c>
      <c r="W138" s="18" t="inlineStr">
        <is>
          <t>≥ 10 pcs</t>
        </is>
      </c>
      <c r="X138" s="18" t="inlineStr">
        <is>
          <t>≥ 50 pcs</t>
        </is>
      </c>
      <c r="Y138" s="18" t="inlineStr">
        <is>
          <t>&lt; 10 pcs</t>
        </is>
      </c>
      <c r="Z138" s="18" t="inlineStr">
        <is>
          <t>≥ 10 pcs</t>
        </is>
      </c>
      <c r="AA138" s="18" t="inlineStr">
        <is>
          <t>≥ 50 pcs</t>
        </is>
      </c>
    </row>
    <row r="139">
      <c r="A139" s="32" t="inlineStr">
        <is>
          <t>Shower Head</t>
        </is>
      </c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  <c r="O139" s="33" t="n"/>
      <c r="P139" s="33" t="n"/>
      <c r="R139" s="33" t="n"/>
      <c r="S139" s="33" t="n"/>
      <c r="T139" s="33" t="n"/>
      <c r="U139" s="33" t="n"/>
      <c r="V139" s="33" t="n"/>
      <c r="W139" s="33" t="n"/>
      <c r="X139" s="33" t="n"/>
      <c r="Y139" s="33" t="n"/>
      <c r="Z139" s="33" t="n"/>
      <c r="AA139" s="33" t="n"/>
    </row>
    <row r="140"/>
    <row r="141">
      <c r="A141" s="19" t="inlineStr">
        <is>
          <t>AKKS003-B</t>
        </is>
      </c>
      <c r="B141" s="20">
        <f>IFERROR(INDEX(Conversion!$C$2:$C$500,MATCH($A141,Conversion!$B$2:$B$500,0)),"NOT ASSIGNED")</f>
        <v/>
      </c>
      <c r="C141" s="21" t="inlineStr">
        <is>
          <t>Plastic shower head, blue</t>
        </is>
      </c>
      <c r="D141" s="22" t="inlineStr">
        <is>
          <t>Shower Wash Head, 1/2" F, blue, PA66 plastic</t>
        </is>
      </c>
      <c r="E141" s="23" t="n">
        <v>0.26</v>
      </c>
      <c r="F141" s="24" t="inlineStr">
        <is>
          <t>Cat p.26</t>
        </is>
      </c>
      <c r="G141" s="25" t="n">
        <v>42.096208</v>
      </c>
      <c r="H141" s="25" t="n">
        <v>36.834182</v>
      </c>
      <c r="I141" s="25" t="n">
        <v>34.203169</v>
      </c>
      <c r="J141" s="27">
        <f>IF(G141="","",G141/$C$5*(1+$C$8)+$E141*(1+$C$7)*$C$6)</f>
        <v/>
      </c>
      <c r="K141" s="27">
        <f>IF(H141="","",H141/$C$5*(1+$C$8)+$E141*(1+$C$7)*$C$6)</f>
        <v/>
      </c>
      <c r="L141" s="27">
        <f>IF(I141="","",I141/$C$5*(1+$C$8)+$E141*(1+$C$7)*$C$6)</f>
        <v/>
      </c>
      <c r="M141" s="28">
        <f>IF(J141="","",ROUND(J141*(1+$C$9),2))</f>
        <v/>
      </c>
      <c r="N141" s="28">
        <f>IF(K141="","",ROUND(K141*(1+$C$9),2))</f>
        <v/>
      </c>
      <c r="O141" s="28">
        <f>IF(L141="","",ROUND(L141*(1+$C$9),2))</f>
        <v/>
      </c>
      <c r="P141" s="29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  <c r="R141" s="8" t="n"/>
      <c r="S141" s="28">
        <f>IF(M141="","",ROUND(M141*(1-IF($R141="",$U$6,$R141)),2))</f>
        <v/>
      </c>
      <c r="T141" s="28">
        <f>IF(N141="","",ROUND(N141*(1-IF($R141="",$U$6,$R141)),2))</f>
        <v/>
      </c>
      <c r="U141" s="28">
        <f>IF(O141="","",ROUND(O141*(1-IF($R141="",$U$6,$R141)),2))</f>
        <v/>
      </c>
      <c r="V141" s="27">
        <f>IF(S141="","",S141-J141)</f>
        <v/>
      </c>
      <c r="W141" s="27">
        <f>IF(T141="","",T141-K141)</f>
        <v/>
      </c>
      <c r="X141" s="27">
        <f>IF(U141="","",U141-L141)</f>
        <v/>
      </c>
      <c r="Y141" s="30">
        <f>IF(OR(S141="",S141=0),"",V141/S141)</f>
        <v/>
      </c>
      <c r="Z141" s="30">
        <f>IF(OR(T141="",T141=0),"",W141/T141)</f>
        <v/>
      </c>
      <c r="AA141" s="30">
        <f>IF(OR(U141="",U141=0),"",X141/U141)</f>
        <v/>
      </c>
    </row>
    <row r="142">
      <c r="A142" s="19" t="inlineStr">
        <is>
          <t>AKKS003-B-19</t>
        </is>
      </c>
      <c r="B142" s="20">
        <f>IFERROR(INDEX(Conversion!$C$2:$C$500,MATCH($A142,Conversion!$B$2:$B$500,0)),"NOT ASSIGNED")</f>
        <v/>
      </c>
      <c r="C142" s="21" t="inlineStr">
        <is>
          <t>Plastic shower head blue with 19mm hose tail MESC019 (separate)</t>
        </is>
      </c>
      <c r="D142" s="22" t="inlineStr">
        <is>
          <t>Shower Wash Head, 1/2" F, w/ 19 mm hose tail (loose), blue, PA66 plastic</t>
        </is>
      </c>
      <c r="E142" s="31" t="n">
        <v>0.3</v>
      </c>
      <c r="F142" s="24" t="inlineStr">
        <is>
          <t>ESTIMATE - 260 g shower (p.26) + MESC019 hose tail est.</t>
        </is>
      </c>
      <c r="G142" s="25" t="n">
        <v>46.099856</v>
      </c>
      <c r="H142" s="25" t="n">
        <v>40.337374</v>
      </c>
      <c r="I142" s="25" t="n">
        <v>37.456133</v>
      </c>
      <c r="J142" s="27">
        <f>IF(G142="","",G142/$C$5*(1+$C$8)+$E142*(1+$C$7)*$C$6)</f>
        <v/>
      </c>
      <c r="K142" s="27">
        <f>IF(H142="","",H142/$C$5*(1+$C$8)+$E142*(1+$C$7)*$C$6)</f>
        <v/>
      </c>
      <c r="L142" s="27">
        <f>IF(I142="","",I142/$C$5*(1+$C$8)+$E142*(1+$C$7)*$C$6)</f>
        <v/>
      </c>
      <c r="M142" s="28">
        <f>IF(J142="","",ROUND(J142*(1+$C$9),2))</f>
        <v/>
      </c>
      <c r="N142" s="28">
        <f>IF(K142="","",ROUND(K142*(1+$C$9),2))</f>
        <v/>
      </c>
      <c r="O142" s="28">
        <f>IF(L142="","",ROUND(L142*(1+$C$9),2))</f>
        <v/>
      </c>
      <c r="P142" s="29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  <c r="R142" s="8" t="n"/>
      <c r="S142" s="28">
        <f>IF(M142="","",ROUND(M142*(1-IF($R142="",$U$6,$R142)),2))</f>
        <v/>
      </c>
      <c r="T142" s="28">
        <f>IF(N142="","",ROUND(N142*(1-IF($R142="",$U$6,$R142)),2))</f>
        <v/>
      </c>
      <c r="U142" s="28">
        <f>IF(O142="","",ROUND(O142*(1-IF($R142="",$U$6,$R142)),2))</f>
        <v/>
      </c>
      <c r="V142" s="27">
        <f>IF(S142="","",S142-J142)</f>
        <v/>
      </c>
      <c r="W142" s="27">
        <f>IF(T142="","",T142-K142)</f>
        <v/>
      </c>
      <c r="X142" s="27">
        <f>IF(U142="","",U142-L142)</f>
        <v/>
      </c>
      <c r="Y142" s="30">
        <f>IF(OR(S142="",S142=0),"",V142/S142)</f>
        <v/>
      </c>
      <c r="Z142" s="30">
        <f>IF(OR(T142="",T142=0),"",W142/T142)</f>
        <v/>
      </c>
      <c r="AA142" s="30">
        <f>IF(OR(U142="",U142=0),"",X142/U142)</f>
        <v/>
      </c>
    </row>
    <row r="143">
      <c r="A143" s="19" t="inlineStr">
        <is>
          <t>AKKS003-W</t>
        </is>
      </c>
      <c r="B143" s="20">
        <f>IFERROR(INDEX(Conversion!$C$2:$C$500,MATCH($A143,Conversion!$B$2:$B$500,0)),"NOT ASSIGNED")</f>
        <v/>
      </c>
      <c r="C143" s="21" t="inlineStr">
        <is>
          <t>Plastic shower head, white</t>
        </is>
      </c>
      <c r="D143" s="22" t="inlineStr">
        <is>
          <t>Shower Wash Head, 1/2" F, white, PA66 plastic</t>
        </is>
      </c>
      <c r="E143" s="23" t="n">
        <v>0.26</v>
      </c>
      <c r="F143" s="24" t="inlineStr">
        <is>
          <t>Cat p.26</t>
        </is>
      </c>
      <c r="G143" s="25" t="n">
        <v>42.096208</v>
      </c>
      <c r="H143" s="25" t="n">
        <v>36.834182</v>
      </c>
      <c r="I143" s="25" t="n">
        <v>34.203169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  <c r="R143" s="8" t="n"/>
      <c r="S143" s="28">
        <f>IF(M143="","",ROUND(M143*(1-IF($R143="",$U$6,$R143)),2))</f>
        <v/>
      </c>
      <c r="T143" s="28">
        <f>IF(N143="","",ROUND(N143*(1-IF($R143="",$U$6,$R143)),2))</f>
        <v/>
      </c>
      <c r="U143" s="28">
        <f>IF(O143="","",ROUND(O143*(1-IF($R143="",$U$6,$R143)),2))</f>
        <v/>
      </c>
      <c r="V143" s="27">
        <f>IF(S143="","",S143-J143)</f>
        <v/>
      </c>
      <c r="W143" s="27">
        <f>IF(T143="","",T143-K143)</f>
        <v/>
      </c>
      <c r="X143" s="27">
        <f>IF(U143="","",U143-L143)</f>
        <v/>
      </c>
      <c r="Y143" s="30">
        <f>IF(OR(S143="",S143=0),"",V143/S143)</f>
        <v/>
      </c>
      <c r="Z143" s="30">
        <f>IF(OR(T143="",T143=0),"",W143/T143)</f>
        <v/>
      </c>
      <c r="AA143" s="30">
        <f>IF(OR(U143="",U143=0),"",X143/U143)</f>
        <v/>
      </c>
    </row>
    <row r="144">
      <c r="A144" s="19" t="inlineStr">
        <is>
          <t>AKKS003-W-19</t>
        </is>
      </c>
      <c r="B144" s="20">
        <f>IFERROR(INDEX(Conversion!$C$2:$C$500,MATCH($A144,Conversion!$B$2:$B$500,0)),"NOT ASSIGNED")</f>
        <v/>
      </c>
      <c r="C144" s="21" t="inlineStr">
        <is>
          <t>Plastic shower head white with 19mm hose tail MESC019 (separate)</t>
        </is>
      </c>
      <c r="D144" s="22" t="inlineStr">
        <is>
          <t>Shower Wash Head, 1/2" F, w/ 19 mm hose tail (loose), white, PA66 plastic</t>
        </is>
      </c>
      <c r="E144" s="31" t="n">
        <v>0.3</v>
      </c>
      <c r="F144" s="24" t="inlineStr">
        <is>
          <t>ESTIMATE - 260 g shower (p.26) + MESC019 hose tail est.</t>
        </is>
      </c>
      <c r="G144" s="25" t="n">
        <v>46.099856</v>
      </c>
      <c r="H144" s="25" t="n">
        <v>40.337374</v>
      </c>
      <c r="I144" s="25" t="n">
        <v>37.456133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  <c r="R144" s="8" t="n"/>
      <c r="S144" s="28">
        <f>IF(M144="","",ROUND(M144*(1-IF($R144="",$U$6,$R144)),2))</f>
        <v/>
      </c>
      <c r="T144" s="28">
        <f>IF(N144="","",ROUND(N144*(1-IF($R144="",$U$6,$R144)),2))</f>
        <v/>
      </c>
      <c r="U144" s="28">
        <f>IF(O144="","",ROUND(O144*(1-IF($R144="",$U$6,$R144)),2))</f>
        <v/>
      </c>
      <c r="V144" s="27">
        <f>IF(S144="","",S144-J144)</f>
        <v/>
      </c>
      <c r="W144" s="27">
        <f>IF(T144="","",T144-K144)</f>
        <v/>
      </c>
      <c r="X144" s="27">
        <f>IF(U144="","",U144-L144)</f>
        <v/>
      </c>
      <c r="Y144" s="30">
        <f>IF(OR(S144="",S144=0),"",V144/S144)</f>
        <v/>
      </c>
      <c r="Z144" s="30">
        <f>IF(OR(T144="",T144=0),"",W144/T144)</f>
        <v/>
      </c>
      <c r="AA144" s="30">
        <f>IF(OR(U144="",U144=0),"",X144/U144)</f>
        <v/>
      </c>
    </row>
    <row r="145"/>
    <row r="146">
      <c r="A146" s="14" t="inlineStr">
        <is>
          <t>Protected ball valves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</row>
    <row r="147"/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  <c r="R148" s="17" t="n"/>
      <c r="S148" s="18" t="inlineStr">
        <is>
          <t>&lt; 10 pcs</t>
        </is>
      </c>
      <c r="T148" s="18" t="inlineStr">
        <is>
          <t>≥ 10 pcs</t>
        </is>
      </c>
      <c r="U148" s="18" t="inlineStr">
        <is>
          <t>≥ 50 pcs</t>
        </is>
      </c>
      <c r="V148" s="18" t="inlineStr">
        <is>
          <t>&lt; 10 pcs</t>
        </is>
      </c>
      <c r="W148" s="18" t="inlineStr">
        <is>
          <t>≥ 10 pcs</t>
        </is>
      </c>
      <c r="X148" s="18" t="inlineStr">
        <is>
          <t>≥ 50 pcs</t>
        </is>
      </c>
      <c r="Y148" s="18" t="inlineStr">
        <is>
          <t>&lt; 10 pcs</t>
        </is>
      </c>
      <c r="Z148" s="18" t="inlineStr">
        <is>
          <t>≥ 10 pcs</t>
        </is>
      </c>
      <c r="AA148" s="18" t="inlineStr">
        <is>
          <t>≥ 50 pcs</t>
        </is>
      </c>
    </row>
    <row r="149">
      <c r="A149" s="19" t="inlineStr">
        <is>
          <t>BALR001-B</t>
        </is>
      </c>
      <c r="B149" s="20">
        <f>IFERROR(INDEX(Conversion!$C$2:$C$500,MATCH($A149,Conversion!$B$2:$B$500,0)),"NOT ASSIGNED")</f>
        <v/>
      </c>
      <c r="C149" s="21" t="inlineStr">
        <is>
          <t>St.st. protected ball valve, 1/2" female x 1/2" female, blue</t>
        </is>
      </c>
      <c r="D149" s="22" t="inlineStr">
        <is>
          <t>Shielded ball valve, 1/2" F x 1/2" F, EPDM protection, blue, stainless steel 304</t>
        </is>
      </c>
      <c r="E149" s="31" t="n">
        <v>0.4</v>
      </c>
      <c r="F149" s="24" t="inlineStr">
        <is>
          <t>ESTIMATE - weight not in catalogue (p.38)</t>
        </is>
      </c>
      <c r="G149" s="25" t="n">
        <v>43.892266</v>
      </c>
      <c r="H149" s="25" t="n">
        <v>41.310368</v>
      </c>
      <c r="I149" s="25" t="n">
        <v>36.146572</v>
      </c>
      <c r="J149" s="27">
        <f>IF(G149="","",G149/$C$5*(1+$C$8)+$E149*(1+$C$7)*$C$6)</f>
        <v/>
      </c>
      <c r="K149" s="27">
        <f>IF(H149="","",H149/$C$5*(1+$C$8)+$E149*(1+$C$7)*$C$6)</f>
        <v/>
      </c>
      <c r="L149" s="27">
        <f>IF(I149="","",I149/$C$5*(1+$C$8)+$E149*(1+$C$7)*$C$6)</f>
        <v/>
      </c>
      <c r="M149" s="28">
        <f>IF(J149="","",ROUND(J149*(1+$C$9),2))</f>
        <v/>
      </c>
      <c r="N149" s="28">
        <f>IF(K149="","",ROUND(K149*(1+$C$9),2))</f>
        <v/>
      </c>
      <c r="O149" s="28">
        <f>IF(L149="","",ROUND(L149*(1+$C$9),2))</f>
        <v/>
      </c>
      <c r="P149" s="29">
        <f>TRIM(IF($B149="NOT ASSIGNED","No NW part no. ","")&amp;IFERROR(IF(INDEX(Conversion!$J$2:$J$500,MATCH($A149,Conversion!$B$2:$B$500,0))="Needs review","Conversion table: needs review. ",""),"")&amp;IF(LEFT($F149,8)="ESTIMATE","Weight estimated. ","")&amp;"")</f>
        <v/>
      </c>
      <c r="R149" s="8" t="n"/>
      <c r="S149" s="28">
        <f>IF(M149="","",ROUND(M149*(1-IF($R149="",$U$6,$R149)),2))</f>
        <v/>
      </c>
      <c r="T149" s="28">
        <f>IF(N149="","",ROUND(N149*(1-IF($R149="",$U$6,$R149)),2))</f>
        <v/>
      </c>
      <c r="U149" s="28">
        <f>IF(O149="","",ROUND(O149*(1-IF($R149="",$U$6,$R149)),2))</f>
        <v/>
      </c>
      <c r="V149" s="27">
        <f>IF(S149="","",S149-J149)</f>
        <v/>
      </c>
      <c r="W149" s="27">
        <f>IF(T149="","",T149-K149)</f>
        <v/>
      </c>
      <c r="X149" s="27">
        <f>IF(U149="","",U149-L149)</f>
        <v/>
      </c>
      <c r="Y149" s="30">
        <f>IF(OR(S149="",S149=0),"",V149/S149)</f>
        <v/>
      </c>
      <c r="Z149" s="30">
        <f>IF(OR(T149="",T149=0),"",W149/T149)</f>
        <v/>
      </c>
      <c r="AA149" s="30">
        <f>IF(OR(U149="",U149=0),"",X149/U149)</f>
        <v/>
      </c>
    </row>
    <row r="150">
      <c r="A150" s="19" t="inlineStr">
        <is>
          <t>BALRCP1-B</t>
        </is>
      </c>
      <c r="B150" s="20">
        <f>IFERROR(INDEX(Conversion!$C$2:$C$500,MATCH($A150,Conversion!$B$2:$B$500,0)),"NOT ASSIGNED")</f>
        <v/>
      </c>
      <c r="C150" s="21" t="inlineStr">
        <is>
          <t>St.st. protected ball valve, 1/2" female x st.st. coupler with protection, blue</t>
        </is>
      </c>
      <c r="D150" s="22" t="inlineStr">
        <is>
          <t>Shielded ball valve, 1/2" F x quick coupling, EPDM protection, blue, stainless steel 304</t>
        </is>
      </c>
      <c r="E150" s="31" t="n">
        <v>0.55</v>
      </c>
      <c r="F150" s="24" t="inlineStr">
        <is>
          <t>ESTIMATE - weight not in catalogue (p.38)</t>
        </is>
      </c>
      <c r="G150" s="25" t="n">
        <v>63.025919</v>
      </c>
      <c r="H150" s="25" t="n">
        <v>59.318512</v>
      </c>
      <c r="I150" s="25" t="n">
        <v>51.903698</v>
      </c>
      <c r="J150" s="27">
        <f>IF(G150="","",G150/$C$5*(1+$C$8)+$E150*(1+$C$7)*$C$6)</f>
        <v/>
      </c>
      <c r="K150" s="27">
        <f>IF(H150="","",H150/$C$5*(1+$C$8)+$E150*(1+$C$7)*$C$6)</f>
        <v/>
      </c>
      <c r="L150" s="27">
        <f>IF(I150="","",I150/$C$5*(1+$C$8)+$E150*(1+$C$7)*$C$6)</f>
        <v/>
      </c>
      <c r="M150" s="28">
        <f>IF(J150="","",ROUND(J150*(1+$C$9),2))</f>
        <v/>
      </c>
      <c r="N150" s="28">
        <f>IF(K150="","",ROUND(K150*(1+$C$9),2))</f>
        <v/>
      </c>
      <c r="O150" s="28">
        <f>IF(L150="","",ROUND(L150*(1+$C$9),2))</f>
        <v/>
      </c>
      <c r="P150" s="29">
        <f>TRIM(IF($B150="NOT ASSIGNED","No NW part no. ","")&amp;IFERROR(IF(INDEX(Conversion!$J$2:$J$500,MATCH($A150,Conversion!$B$2:$B$500,0))="Needs review","Conversion table: needs review. ",""),"")&amp;IF(LEFT($F150,8)="ESTIMATE","Weight estimated. ","")&amp;"")</f>
        <v/>
      </c>
      <c r="R150" s="8" t="n"/>
      <c r="S150" s="28">
        <f>IF(M150="","",ROUND(M150*(1-IF($R150="",$U$6,$R150)),2))</f>
        <v/>
      </c>
      <c r="T150" s="28">
        <f>IF(N150="","",ROUND(N150*(1-IF($R150="",$U$6,$R150)),2))</f>
        <v/>
      </c>
      <c r="U150" s="28">
        <f>IF(O150="","",ROUND(O150*(1-IF($R150="",$U$6,$R150)),2))</f>
        <v/>
      </c>
      <c r="V150" s="27">
        <f>IF(S150="","",S150-J150)</f>
        <v/>
      </c>
      <c r="W150" s="27">
        <f>IF(T150="","",T150-K150)</f>
        <v/>
      </c>
      <c r="X150" s="27">
        <f>IF(U150="","",U150-L150)</f>
        <v/>
      </c>
      <c r="Y150" s="30">
        <f>IF(OR(S150="",S150=0),"",V150/S150)</f>
        <v/>
      </c>
      <c r="Z150" s="30">
        <f>IF(OR(T150="",T150=0),"",W150/T150)</f>
        <v/>
      </c>
      <c r="AA150" s="30">
        <f>IF(OR(U150="",U150=0),"",X150/U150)</f>
        <v/>
      </c>
    </row>
    <row r="151">
      <c r="A151" s="19" t="inlineStr">
        <is>
          <t>BALRCP1-NB</t>
        </is>
      </c>
      <c r="B151" s="20">
        <f>IFERROR(INDEX(Conversion!$C$2:$C$500,MATCH($A151,Conversion!$B$2:$B$500,0)),"NOT ASSIGNED")</f>
        <v/>
      </c>
      <c r="C151" s="21" t="inlineStr">
        <is>
          <t>St.st. protected ball valve, 1/2" female x st.st. coupler with nylon protection, blue</t>
        </is>
      </c>
      <c r="D151" s="22" t="inlineStr">
        <is>
          <t>Shielded ball valve, 1/2" F x quick coupling, nylon protection, blue, stainless steel 304</t>
        </is>
      </c>
      <c r="E151" s="31" t="n">
        <v>0.55</v>
      </c>
      <c r="F151" s="24" t="inlineStr">
        <is>
          <t>ESTIMATE - weight not in catalogue (p.38)</t>
        </is>
      </c>
      <c r="G151" s="25" t="n">
        <v>66.53273</v>
      </c>
      <c r="H151" s="25" t="n">
        <v>62.61904</v>
      </c>
      <c r="I151" s="25" t="n">
        <v>54.79166</v>
      </c>
      <c r="J151" s="27">
        <f>IF(G151="","",G151/$C$5*(1+$C$8)+$E151*(1+$C$7)*$C$6)</f>
        <v/>
      </c>
      <c r="K151" s="27">
        <f>IF(H151="","",H151/$C$5*(1+$C$8)+$E151*(1+$C$7)*$C$6)</f>
        <v/>
      </c>
      <c r="L151" s="27">
        <f>IF(I151="","",I151/$C$5*(1+$C$8)+$E151*(1+$C$7)*$C$6)</f>
        <v/>
      </c>
      <c r="M151" s="28">
        <f>IF(J151="","",ROUND(J151*(1+$C$9),2))</f>
        <v/>
      </c>
      <c r="N151" s="28">
        <f>IF(K151="","",ROUND(K151*(1+$C$9),2))</f>
        <v/>
      </c>
      <c r="O151" s="28">
        <f>IF(L151="","",ROUND(L151*(1+$C$9),2))</f>
        <v/>
      </c>
      <c r="P151" s="29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  <c r="R151" s="8" t="n"/>
      <c r="S151" s="28">
        <f>IF(M151="","",ROUND(M151*(1-IF($R151="",$U$6,$R151)),2))</f>
        <v/>
      </c>
      <c r="T151" s="28">
        <f>IF(N151="","",ROUND(N151*(1-IF($R151="",$U$6,$R151)),2))</f>
        <v/>
      </c>
      <c r="U151" s="28">
        <f>IF(O151="","",ROUND(O151*(1-IF($R151="",$U$6,$R151)),2))</f>
        <v/>
      </c>
      <c r="V151" s="27">
        <f>IF(S151="","",S151-J151)</f>
        <v/>
      </c>
      <c r="W151" s="27">
        <f>IF(T151="","",T151-K151)</f>
        <v/>
      </c>
      <c r="X151" s="27">
        <f>IF(U151="","",U151-L151)</f>
        <v/>
      </c>
      <c r="Y151" s="30">
        <f>IF(OR(S151="",S151=0),"",V151/S151)</f>
        <v/>
      </c>
      <c r="Z151" s="30">
        <f>IF(OR(T151="",T151=0),"",W151/T151)</f>
        <v/>
      </c>
      <c r="AA151" s="30">
        <f>IF(OR(U151="",U151=0),"",X151/U151)</f>
        <v/>
      </c>
    </row>
    <row r="152">
      <c r="A152" s="19" t="inlineStr">
        <is>
          <t>BARRCP2-B</t>
        </is>
      </c>
      <c r="B152" s="20">
        <f>IFERROR(INDEX(Conversion!$C$2:$C$500,MATCH($A152,Conversion!$B$2:$B$500,0)),"NOT ASSIGNED")</f>
        <v/>
      </c>
      <c r="C152" s="21" t="inlineStr">
        <is>
          <t>Stainless steel (AISI 316) ball valve with mechanical protection, coupler with blue protection and adapter</t>
        </is>
      </c>
      <c r="D152" s="22" t="inlineStr">
        <is>
          <t>Shielded ball valve, 1/2" F x quick coupling, EPDM protection, lever guard, blue, stainless steel 316</t>
        </is>
      </c>
      <c r="E152" s="31" t="n">
        <v>0.6</v>
      </c>
      <c r="F152" s="24" t="inlineStr">
        <is>
          <t>ESTIMATE - weight not in catalogue (p.38)</t>
        </is>
      </c>
      <c r="G152" s="25" t="n">
        <v>52.874624</v>
      </c>
      <c r="H152" s="25" t="n">
        <v>49.764352</v>
      </c>
      <c r="I152" s="25" t="n">
        <v>43.543808</v>
      </c>
      <c r="J152" s="27">
        <f>IF(G152="","",G152/$C$5*(1+$C$8)+$E152*(1+$C$7)*$C$6)</f>
        <v/>
      </c>
      <c r="K152" s="27">
        <f>IF(H152="","",H152/$C$5*(1+$C$8)+$E152*(1+$C$7)*$C$6)</f>
        <v/>
      </c>
      <c r="L152" s="27">
        <f>IF(I152="","",I152/$C$5*(1+$C$8)+$E152*(1+$C$7)*$C$6)</f>
        <v/>
      </c>
      <c r="M152" s="28">
        <f>IF(J152="","",ROUND(J152*(1+$C$9),2))</f>
        <v/>
      </c>
      <c r="N152" s="28">
        <f>IF(K152="","",ROUND(K152*(1+$C$9),2))</f>
        <v/>
      </c>
      <c r="O152" s="28">
        <f>IF(L152="","",ROUND(L152*(1+$C$9),2))</f>
        <v/>
      </c>
      <c r="P152" s="29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  <c r="R152" s="8" t="n"/>
      <c r="S152" s="28">
        <f>IF(M152="","",ROUND(M152*(1-IF($R152="",$U$6,$R152)),2))</f>
        <v/>
      </c>
      <c r="T152" s="28">
        <f>IF(N152="","",ROUND(N152*(1-IF($R152="",$U$6,$R152)),2))</f>
        <v/>
      </c>
      <c r="U152" s="28">
        <f>IF(O152="","",ROUND(O152*(1-IF($R152="",$U$6,$R152)),2))</f>
        <v/>
      </c>
      <c r="V152" s="27">
        <f>IF(S152="","",S152-J152)</f>
        <v/>
      </c>
      <c r="W152" s="27">
        <f>IF(T152="","",T152-K152)</f>
        <v/>
      </c>
      <c r="X152" s="27">
        <f>IF(U152="","",U152-L152)</f>
        <v/>
      </c>
      <c r="Y152" s="30">
        <f>IF(OR(S152="",S152=0),"",V152/S152)</f>
        <v/>
      </c>
      <c r="Z152" s="30">
        <f>IF(OR(T152="",T152=0),"",W152/T152)</f>
        <v/>
      </c>
      <c r="AA152" s="30">
        <f>IF(OR(U152="",U152=0),"",X152/U152)</f>
        <v/>
      </c>
    </row>
    <row r="153"/>
    <row r="154">
      <c r="A154" s="14" t="inlineStr">
        <is>
          <t>Ball bearing swivels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</row>
    <row r="155"/>
    <row r="156">
      <c r="A156" s="16" t="inlineStr">
        <is>
          <t>Qty break</t>
        </is>
      </c>
      <c r="B156" s="17" t="n"/>
      <c r="C156" s="17" t="n"/>
      <c r="D156" s="17" t="n"/>
      <c r="E156" s="17" t="n"/>
      <c r="F156" s="17" t="n"/>
      <c r="G156" s="18" t="inlineStr">
        <is>
          <t>&lt; 10 pcs</t>
        </is>
      </c>
      <c r="H156" s="18" t="inlineStr">
        <is>
          <t>≥ 10 pcs</t>
        </is>
      </c>
      <c r="I156" s="18" t="inlineStr">
        <is>
          <t>≥ 50 pcs</t>
        </is>
      </c>
      <c r="J156" s="18" t="inlineStr">
        <is>
          <t>&lt; 10 pcs</t>
        </is>
      </c>
      <c r="K156" s="18" t="inlineStr">
        <is>
          <t>≥ 10 pcs</t>
        </is>
      </c>
      <c r="L156" s="18" t="inlineStr">
        <is>
          <t>≥ 50 pcs</t>
        </is>
      </c>
      <c r="M156" s="18" t="inlineStr">
        <is>
          <t>&lt; 10 pcs</t>
        </is>
      </c>
      <c r="N156" s="18" t="inlineStr">
        <is>
          <t>≥ 10 pcs</t>
        </is>
      </c>
      <c r="O156" s="18" t="inlineStr">
        <is>
          <t>≥ 50 pcs</t>
        </is>
      </c>
      <c r="P156" s="17" t="n"/>
      <c r="R156" s="17" t="n"/>
      <c r="S156" s="18" t="inlineStr">
        <is>
          <t>&lt; 10 pcs</t>
        </is>
      </c>
      <c r="T156" s="18" t="inlineStr">
        <is>
          <t>≥ 10 pcs</t>
        </is>
      </c>
      <c r="U156" s="18" t="inlineStr">
        <is>
          <t>≥ 50 pcs</t>
        </is>
      </c>
      <c r="V156" s="18" t="inlineStr">
        <is>
          <t>&lt; 10 pcs</t>
        </is>
      </c>
      <c r="W156" s="18" t="inlineStr">
        <is>
          <t>≥ 10 pcs</t>
        </is>
      </c>
      <c r="X156" s="18" t="inlineStr">
        <is>
          <t>≥ 50 pcs</t>
        </is>
      </c>
      <c r="Y156" s="18" t="inlineStr">
        <is>
          <t>&lt; 10 pcs</t>
        </is>
      </c>
      <c r="Z156" s="18" t="inlineStr">
        <is>
          <t>≥ 10 pcs</t>
        </is>
      </c>
      <c r="AA156" s="18" t="inlineStr">
        <is>
          <t>≥ 50 pcs</t>
        </is>
      </c>
    </row>
    <row r="157">
      <c r="A157" s="32" t="inlineStr">
        <is>
          <t>Brass ball bearing swivels</t>
        </is>
      </c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  <c r="O157" s="33" t="n"/>
      <c r="P157" s="33" t="n"/>
      <c r="R157" s="33" t="n"/>
      <c r="S157" s="33" t="n"/>
      <c r="T157" s="33" t="n"/>
      <c r="U157" s="33" t="n"/>
      <c r="V157" s="33" t="n"/>
      <c r="W157" s="33" t="n"/>
      <c r="X157" s="33" t="n"/>
      <c r="Y157" s="33" t="n"/>
      <c r="Z157" s="33" t="n"/>
      <c r="AA157" s="33" t="n"/>
    </row>
    <row r="158"/>
    <row r="159">
      <c r="A159" s="19" t="inlineStr">
        <is>
          <t>SWM09-12</t>
        </is>
      </c>
      <c r="B159" s="20">
        <f>IFERROR(INDEX(Conversion!$C$2:$C$500,MATCH($A159,Conversion!$B$2:$B$500,0)),"NOT ASSIGNED")</f>
        <v/>
      </c>
      <c r="C159" s="21" t="inlineStr">
        <is>
          <t>Brass ball bearing swivel, 1/2" male x 1/2" female, 9mm bore, flat seals</t>
        </is>
      </c>
      <c r="D159" s="22" t="inlineStr">
        <is>
          <t>Ball bearing swivel, 1/2" M x 1/2" F, 9 mm bore, brass</t>
        </is>
      </c>
      <c r="E159" s="31" t="n">
        <v>0.09</v>
      </c>
      <c r="F159" s="24" t="inlineStr">
        <is>
          <t>ESTIMATE - catalogue gives dimensions only (p.68-71)</t>
        </is>
      </c>
      <c r="G159" s="25" t="n">
        <v>10.100112</v>
      </c>
      <c r="H159" s="25" t="n">
        <v>8.837598</v>
      </c>
      <c r="I159" s="25" t="n">
        <v>8.206341</v>
      </c>
      <c r="J159" s="27">
        <f>IF(G159="","",G159/$C$5*(1+$C$8)+$E159*(1+$C$7)*$C$6)</f>
        <v/>
      </c>
      <c r="K159" s="27">
        <f>IF(H159="","",H159/$C$5*(1+$C$8)+$E159*(1+$C$7)*$C$6)</f>
        <v/>
      </c>
      <c r="L159" s="27">
        <f>IF(I159="","",I159/$C$5*(1+$C$8)+$E159*(1+$C$7)*$C$6)</f>
        <v/>
      </c>
      <c r="M159" s="28">
        <f>IF(J159="","",ROUND(J159*(1+$C$9),2))</f>
        <v/>
      </c>
      <c r="N159" s="28">
        <f>IF(K159="","",ROUND(K159*(1+$C$9),2))</f>
        <v/>
      </c>
      <c r="O159" s="28">
        <f>IF(L159="","",ROUND(L159*(1+$C$9),2))</f>
        <v/>
      </c>
      <c r="P159" s="29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  <c r="R159" s="8" t="n"/>
      <c r="S159" s="28">
        <f>IF(M159="","",ROUND(M159*(1-IF($R159="",$U$6,$R159)),2))</f>
        <v/>
      </c>
      <c r="T159" s="28">
        <f>IF(N159="","",ROUND(N159*(1-IF($R159="",$U$6,$R159)),2))</f>
        <v/>
      </c>
      <c r="U159" s="28">
        <f>IF(O159="","",ROUND(O159*(1-IF($R159="",$U$6,$R159)),2))</f>
        <v/>
      </c>
      <c r="V159" s="27">
        <f>IF(S159="","",S159-J159)</f>
        <v/>
      </c>
      <c r="W159" s="27">
        <f>IF(T159="","",T159-K159)</f>
        <v/>
      </c>
      <c r="X159" s="27">
        <f>IF(U159="","",U159-L159)</f>
        <v/>
      </c>
      <c r="Y159" s="30">
        <f>IF(OR(S159="",S159=0),"",V159/S159)</f>
        <v/>
      </c>
      <c r="Z159" s="30">
        <f>IF(OR(T159="",T159=0),"",W159/T159)</f>
        <v/>
      </c>
      <c r="AA159" s="30">
        <f>IF(OR(U159="",U159=0),"",X159/U159)</f>
        <v/>
      </c>
    </row>
    <row r="160">
      <c r="A160" s="19" t="inlineStr">
        <is>
          <t>SWM09-34</t>
        </is>
      </c>
      <c r="B160" s="20">
        <f>IFERROR(INDEX(Conversion!$C$2:$C$500,MATCH($A160,Conversion!$B$2:$B$500,0)),"NOT ASSIGNED")</f>
        <v/>
      </c>
      <c r="C160" s="21" t="inlineStr">
        <is>
          <t>Brass ball bearing swivel, 1/2" male x 3/4" female, 9mm bore, flat seals</t>
        </is>
      </c>
      <c r="D160" s="22" t="inlineStr">
        <is>
          <t>Ball bearing swivel, 1/2" M x 3/4" F, 9 mm bore, brass</t>
        </is>
      </c>
      <c r="E160" s="31" t="n">
        <v>0.1</v>
      </c>
      <c r="F160" s="24" t="inlineStr">
        <is>
          <t>ESTIMATE - catalogue gives dimensions only (p.68-71)</t>
        </is>
      </c>
      <c r="G160" s="25" t="n">
        <v>10.447536</v>
      </c>
      <c r="H160" s="25" t="n">
        <v>9.141594</v>
      </c>
      <c r="I160" s="25" t="n">
        <v>8.488623</v>
      </c>
      <c r="J160" s="27">
        <f>IF(G160="","",G160/$C$5*(1+$C$8)+$E160*(1+$C$7)*$C$6)</f>
        <v/>
      </c>
      <c r="K160" s="27">
        <f>IF(H160="","",H160/$C$5*(1+$C$8)+$E160*(1+$C$7)*$C$6)</f>
        <v/>
      </c>
      <c r="L160" s="27">
        <f>IF(I160="","",I160/$C$5*(1+$C$8)+$E160*(1+$C$7)*$C$6)</f>
        <v/>
      </c>
      <c r="M160" s="28">
        <f>IF(J160="","",ROUND(J160*(1+$C$9),2))</f>
        <v/>
      </c>
      <c r="N160" s="28">
        <f>IF(K160="","",ROUND(K160*(1+$C$9),2))</f>
        <v/>
      </c>
      <c r="O160" s="28">
        <f>IF(L160="","",ROUND(L160*(1+$C$9),2))</f>
        <v/>
      </c>
      <c r="P160" s="29">
        <f>TRIM(IF($B160="NOT ASSIGNED","No NW part no. ","")&amp;IFERROR(IF(INDEX(Conversion!$J$2:$J$500,MATCH($A160,Conversion!$B$2:$B$500,0))="Needs review","Conversion table: needs review. ",""),"")&amp;IF(LEFT($F160,8)="ESTIMATE","Weight estimated. ","")&amp;"")</f>
        <v/>
      </c>
      <c r="R160" s="8" t="n"/>
      <c r="S160" s="28">
        <f>IF(M160="","",ROUND(M160*(1-IF($R160="",$U$6,$R160)),2))</f>
        <v/>
      </c>
      <c r="T160" s="28">
        <f>IF(N160="","",ROUND(N160*(1-IF($R160="",$U$6,$R160)),2))</f>
        <v/>
      </c>
      <c r="U160" s="28">
        <f>IF(O160="","",ROUND(O160*(1-IF($R160="",$U$6,$R160)),2))</f>
        <v/>
      </c>
      <c r="V160" s="27">
        <f>IF(S160="","",S160-J160)</f>
        <v/>
      </c>
      <c r="W160" s="27">
        <f>IF(T160="","",T160-K160)</f>
        <v/>
      </c>
      <c r="X160" s="27">
        <f>IF(U160="","",U160-L160)</f>
        <v/>
      </c>
      <c r="Y160" s="30">
        <f>IF(OR(S160="",S160=0),"",V160/S160)</f>
        <v/>
      </c>
      <c r="Z160" s="30">
        <f>IF(OR(T160="",T160=0),"",W160/T160)</f>
        <v/>
      </c>
      <c r="AA160" s="30">
        <f>IF(OR(U160="",U160=0),"",X160/U160)</f>
        <v/>
      </c>
    </row>
    <row r="161">
      <c r="A161" s="19" t="inlineStr">
        <is>
          <t>SWM14-34</t>
        </is>
      </c>
      <c r="B161" s="20">
        <f>IFERROR(INDEX(Conversion!$C$2:$C$500,MATCH($A161,Conversion!$B$2:$B$500,0)),"NOT ASSIGNED")</f>
        <v/>
      </c>
      <c r="C161" s="21" t="inlineStr">
        <is>
          <t>Brass ball bearing swivel, 1/2" male x 3/4" female, 14mm bore, flat seals</t>
        </is>
      </c>
      <c r="D161" s="22" t="inlineStr">
        <is>
          <t>Ball bearing swivel, 1/2" M x 3/4" F, 14 mm bore, brass</t>
        </is>
      </c>
      <c r="E161" s="31" t="n">
        <v>0.13</v>
      </c>
      <c r="F161" s="24" t="inlineStr">
        <is>
          <t>ESTIMATE - catalogue gives dimensions only (p.68-71)</t>
        </is>
      </c>
      <c r="G161" s="25" t="n">
        <v>11.1672</v>
      </c>
      <c r="H161" s="25" t="n">
        <v>9.7713</v>
      </c>
      <c r="I161" s="25" t="n">
        <v>9.07335</v>
      </c>
      <c r="J161" s="27">
        <f>IF(G161="","",G161/$C$5*(1+$C$8)+$E161*(1+$C$7)*$C$6)</f>
        <v/>
      </c>
      <c r="K161" s="27">
        <f>IF(H161="","",H161/$C$5*(1+$C$8)+$E161*(1+$C$7)*$C$6)</f>
        <v/>
      </c>
      <c r="L161" s="27">
        <f>IF(I161="","",I161/$C$5*(1+$C$8)+$E161*(1+$C$7)*$C$6)</f>
        <v/>
      </c>
      <c r="M161" s="28">
        <f>IF(J161="","",ROUND(J161*(1+$C$9),2))</f>
        <v/>
      </c>
      <c r="N161" s="28">
        <f>IF(K161="","",ROUND(K161*(1+$C$9),2))</f>
        <v/>
      </c>
      <c r="O161" s="28">
        <f>IF(L161="","",ROUND(L161*(1+$C$9),2))</f>
        <v/>
      </c>
      <c r="P161" s="29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  <c r="R161" s="8" t="n"/>
      <c r="S161" s="28">
        <f>IF(M161="","",ROUND(M161*(1-IF($R161="",$U$6,$R161)),2))</f>
        <v/>
      </c>
      <c r="T161" s="28">
        <f>IF(N161="","",ROUND(N161*(1-IF($R161="",$U$6,$R161)),2))</f>
        <v/>
      </c>
      <c r="U161" s="28">
        <f>IF(O161="","",ROUND(O161*(1-IF($R161="",$U$6,$R161)),2))</f>
        <v/>
      </c>
      <c r="V161" s="27">
        <f>IF(S161="","",S161-J161)</f>
        <v/>
      </c>
      <c r="W161" s="27">
        <f>IF(T161="","",T161-K161)</f>
        <v/>
      </c>
      <c r="X161" s="27">
        <f>IF(U161="","",U161-L161)</f>
        <v/>
      </c>
      <c r="Y161" s="30">
        <f>IF(OR(S161="",S161=0),"",V161/S161)</f>
        <v/>
      </c>
      <c r="Z161" s="30">
        <f>IF(OR(T161="",T161=0),"",W161/T161)</f>
        <v/>
      </c>
      <c r="AA161" s="30">
        <f>IF(OR(U161="",U161=0),"",X161/U161)</f>
        <v/>
      </c>
    </row>
    <row r="162">
      <c r="A162" s="19" t="inlineStr">
        <is>
          <t>SWM14-34X34</t>
        </is>
      </c>
      <c r="B162" s="20">
        <f>IFERROR(INDEX(Conversion!$C$2:$C$500,MATCH($A162,Conversion!$B$2:$B$500,0)),"NOT ASSIGNED")</f>
        <v/>
      </c>
      <c r="C162" s="21" t="inlineStr">
        <is>
          <t>Brass ball bearing swivel, 3/4" male x 3/4" female, 14mm bore, flat seals</t>
        </is>
      </c>
      <c r="D162" s="22" t="inlineStr">
        <is>
          <t>Ball bearing swivel, 3/4" M x 3/4" F, 14 mm bore, brass</t>
        </is>
      </c>
      <c r="E162" s="31" t="n">
        <v>0.15</v>
      </c>
      <c r="F162" s="24" t="inlineStr">
        <is>
          <t>ESTIMATE - catalogue gives dimensions only (p.68-71)</t>
        </is>
      </c>
      <c r="G162" s="25" t="n">
        <v>12.672704</v>
      </c>
      <c r="H162" s="25" t="n">
        <v>11.088616</v>
      </c>
      <c r="I162" s="25" t="n">
        <v>10.296572</v>
      </c>
      <c r="J162" s="27">
        <f>IF(G162="","",G162/$C$5*(1+$C$8)+$E162*(1+$C$7)*$C$6)</f>
        <v/>
      </c>
      <c r="K162" s="27">
        <f>IF(H162="","",H162/$C$5*(1+$C$8)+$E162*(1+$C$7)*$C$6)</f>
        <v/>
      </c>
      <c r="L162" s="27">
        <f>IF(I162="","",I162/$C$5*(1+$C$8)+$E162*(1+$C$7)*$C$6)</f>
        <v/>
      </c>
      <c r="M162" s="28">
        <f>IF(J162="","",ROUND(J162*(1+$C$9),2))</f>
        <v/>
      </c>
      <c r="N162" s="28">
        <f>IF(K162="","",ROUND(K162*(1+$C$9),2))</f>
        <v/>
      </c>
      <c r="O162" s="28">
        <f>IF(L162="","",ROUND(L162*(1+$C$9),2))</f>
        <v/>
      </c>
      <c r="P162" s="29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  <c r="R162" s="8" t="n"/>
      <c r="S162" s="28">
        <f>IF(M162="","",ROUND(M162*(1-IF($R162="",$U$6,$R162)),2))</f>
        <v/>
      </c>
      <c r="T162" s="28">
        <f>IF(N162="","",ROUND(N162*(1-IF($R162="",$U$6,$R162)),2))</f>
        <v/>
      </c>
      <c r="U162" s="28">
        <f>IF(O162="","",ROUND(O162*(1-IF($R162="",$U$6,$R162)),2))</f>
        <v/>
      </c>
      <c r="V162" s="27">
        <f>IF(S162="","",S162-J162)</f>
        <v/>
      </c>
      <c r="W162" s="27">
        <f>IF(T162="","",T162-K162)</f>
        <v/>
      </c>
      <c r="X162" s="27">
        <f>IF(U162="","",U162-L162)</f>
        <v/>
      </c>
      <c r="Y162" s="30">
        <f>IF(OR(S162="",S162=0),"",V162/S162)</f>
        <v/>
      </c>
      <c r="Z162" s="30">
        <f>IF(OR(T162="",T162=0),"",W162/T162)</f>
        <v/>
      </c>
      <c r="AA162" s="30">
        <f>IF(OR(U162="",U162=0),"",X162/U162)</f>
        <v/>
      </c>
    </row>
    <row r="163">
      <c r="A163" s="19" t="inlineStr">
        <is>
          <t>SWM18-1X1</t>
        </is>
      </c>
      <c r="B163" s="20">
        <f>IFERROR(INDEX(Conversion!$C$2:$C$500,MATCH($A163,Conversion!$B$2:$B$500,0)),"NOT ASSIGNED")</f>
        <v/>
      </c>
      <c r="C163" s="21" t="inlineStr">
        <is>
          <t>Brass ball bearing swivel, 1" male x 1" female, 18mm bore, flat seals</t>
        </is>
      </c>
      <c r="D163" s="22" t="inlineStr">
        <is>
          <t>Ball bearing swivel, 1" M x 1" F, 18 mm bore, brass</t>
        </is>
      </c>
      <c r="E163" s="31" t="n">
        <v>0.25</v>
      </c>
      <c r="F163" s="24" t="inlineStr">
        <is>
          <t>ESTIMATE - catalogue gives dimensions only (p.68-71)</t>
        </is>
      </c>
      <c r="G163" s="25" t="n">
        <v>19.166224</v>
      </c>
      <c r="H163" s="25" t="n">
        <v>16.770446</v>
      </c>
      <c r="I163" s="25" t="n">
        <v>15.572557</v>
      </c>
      <c r="J163" s="27">
        <f>IF(G163="","",G163/$C$5*(1+$C$8)+$E163*(1+$C$7)*$C$6)</f>
        <v/>
      </c>
      <c r="K163" s="27">
        <f>IF(H163="","",H163/$C$5*(1+$C$8)+$E163*(1+$C$7)*$C$6)</f>
        <v/>
      </c>
      <c r="L163" s="27">
        <f>IF(I163="","",I163/$C$5*(1+$C$8)+$E163*(1+$C$7)*$C$6)</f>
        <v/>
      </c>
      <c r="M163" s="28">
        <f>IF(J163="","",ROUND(J163*(1+$C$9),2))</f>
        <v/>
      </c>
      <c r="N163" s="28">
        <f>IF(K163="","",ROUND(K163*(1+$C$9),2))</f>
        <v/>
      </c>
      <c r="O163" s="28">
        <f>IF(L163="","",ROUND(L163*(1+$C$9),2))</f>
        <v/>
      </c>
      <c r="P163" s="29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  <c r="R163" s="8" t="n"/>
      <c r="S163" s="28">
        <f>IF(M163="","",ROUND(M163*(1-IF($R163="",$U$6,$R163)),2))</f>
        <v/>
      </c>
      <c r="T163" s="28">
        <f>IF(N163="","",ROUND(N163*(1-IF($R163="",$U$6,$R163)),2))</f>
        <v/>
      </c>
      <c r="U163" s="28">
        <f>IF(O163="","",ROUND(O163*(1-IF($R163="",$U$6,$R163)),2))</f>
        <v/>
      </c>
      <c r="V163" s="27">
        <f>IF(S163="","",S163-J163)</f>
        <v/>
      </c>
      <c r="W163" s="27">
        <f>IF(T163="","",T163-K163)</f>
        <v/>
      </c>
      <c r="X163" s="27">
        <f>IF(U163="","",U163-L163)</f>
        <v/>
      </c>
      <c r="Y163" s="30">
        <f>IF(OR(S163="",S163=0),"",V163/S163)</f>
        <v/>
      </c>
      <c r="Z163" s="30">
        <f>IF(OR(T163="",T163=0),"",W163/T163)</f>
        <v/>
      </c>
      <c r="AA163" s="30">
        <f>IF(OR(U163="",U163=0),"",X163/U163)</f>
        <v/>
      </c>
    </row>
    <row r="164">
      <c r="A164" s="19" t="inlineStr">
        <is>
          <t>SWM09-12MX12M</t>
        </is>
      </c>
      <c r="B164" s="20">
        <f>IFERROR(INDEX(Conversion!$C$2:$C$500,MATCH($A164,Conversion!$B$2:$B$500,0)),"NOT ASSIGNED")</f>
        <v/>
      </c>
      <c r="C164" s="21" t="inlineStr">
        <is>
          <t>Brass ball bearing swivel, 1/2" male x 1/2" male, 9mm bore, flat seals</t>
        </is>
      </c>
      <c r="D164" s="22" t="inlineStr">
        <is>
          <t>Ball bearing swivel, 1/2" M x 1/2" M, 9 mm bore, brass</t>
        </is>
      </c>
      <c r="E164" s="31" t="n">
        <v>0.09</v>
      </c>
      <c r="F164" s="24" t="inlineStr">
        <is>
          <t>ESTIMATE - catalogue gives dimensions only (p.68-71)</t>
        </is>
      </c>
      <c r="G164" s="25" t="n">
        <v>10.348272</v>
      </c>
      <c r="H164" s="25" t="n">
        <v>9.054738</v>
      </c>
      <c r="I164" s="25" t="n">
        <v>8.407971</v>
      </c>
      <c r="J164" s="27">
        <f>IF(G164="","",G164/$C$5*(1+$C$8)+$E164*(1+$C$7)*$C$6)</f>
        <v/>
      </c>
      <c r="K164" s="27">
        <f>IF(H164="","",H164/$C$5*(1+$C$8)+$E164*(1+$C$7)*$C$6)</f>
        <v/>
      </c>
      <c r="L164" s="27">
        <f>IF(I164="","",I164/$C$5*(1+$C$8)+$E164*(1+$C$7)*$C$6)</f>
        <v/>
      </c>
      <c r="M164" s="28">
        <f>IF(J164="","",ROUND(J164*(1+$C$9),2))</f>
        <v/>
      </c>
      <c r="N164" s="28">
        <f>IF(K164="","",ROUND(K164*(1+$C$9),2))</f>
        <v/>
      </c>
      <c r="O164" s="28">
        <f>IF(L164="","",ROUND(L164*(1+$C$9),2))</f>
        <v/>
      </c>
      <c r="P164" s="29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  <c r="R164" s="8" t="n"/>
      <c r="S164" s="28">
        <f>IF(M164="","",ROUND(M164*(1-IF($R164="",$U$6,$R164)),2))</f>
        <v/>
      </c>
      <c r="T164" s="28">
        <f>IF(N164="","",ROUND(N164*(1-IF($R164="",$U$6,$R164)),2))</f>
        <v/>
      </c>
      <c r="U164" s="28">
        <f>IF(O164="","",ROUND(O164*(1-IF($R164="",$U$6,$R164)),2))</f>
        <v/>
      </c>
      <c r="V164" s="27">
        <f>IF(S164="","",S164-J164)</f>
        <v/>
      </c>
      <c r="W164" s="27">
        <f>IF(T164="","",T164-K164)</f>
        <v/>
      </c>
      <c r="X164" s="27">
        <f>IF(U164="","",U164-L164)</f>
        <v/>
      </c>
      <c r="Y164" s="30">
        <f>IF(OR(S164="",S164=0),"",V164/S164)</f>
        <v/>
      </c>
      <c r="Z164" s="30">
        <f>IF(OR(T164="",T164=0),"",W164/T164)</f>
        <v/>
      </c>
      <c r="AA164" s="30">
        <f>IF(OR(U164="",U164=0),"",X164/U164)</f>
        <v/>
      </c>
    </row>
    <row r="165">
      <c r="A165" s="19" t="inlineStr">
        <is>
          <t>SWM09-12MX34M</t>
        </is>
      </c>
      <c r="B165" s="20">
        <f>IFERROR(INDEX(Conversion!$C$2:$C$500,MATCH($A165,Conversion!$B$2:$B$500,0)),"NOT ASSIGNED")</f>
        <v/>
      </c>
      <c r="C165" s="21" t="inlineStr">
        <is>
          <t>Brass ball bearing swivel, 1/2" male x 3/4" male, 9mm bore, flat seal</t>
        </is>
      </c>
      <c r="D165" s="22" t="inlineStr">
        <is>
          <t>Ball bearing swivel, 1/2" M x 3/4" M, 9 mm bore, brass</t>
        </is>
      </c>
      <c r="E165" s="31" t="n">
        <v>0.1</v>
      </c>
      <c r="F165" s="24" t="inlineStr">
        <is>
          <t>ESTIMATE - catalogue gives dimensions only (p.68-71)</t>
        </is>
      </c>
      <c r="G165" s="25" t="n">
        <v>10.348272</v>
      </c>
      <c r="H165" s="25" t="n">
        <v>9.054738</v>
      </c>
      <c r="I165" s="25" t="n">
        <v>8.407971</v>
      </c>
      <c r="J165" s="27">
        <f>IF(G165="","",G165/$C$5*(1+$C$8)+$E165*(1+$C$7)*$C$6)</f>
        <v/>
      </c>
      <c r="K165" s="27">
        <f>IF(H165="","",H165/$C$5*(1+$C$8)+$E165*(1+$C$7)*$C$6)</f>
        <v/>
      </c>
      <c r="L165" s="27">
        <f>IF(I165="","",I165/$C$5*(1+$C$8)+$E165*(1+$C$7)*$C$6)</f>
        <v/>
      </c>
      <c r="M165" s="28">
        <f>IF(J165="","",ROUND(J165*(1+$C$9),2))</f>
        <v/>
      </c>
      <c r="N165" s="28">
        <f>IF(K165="","",ROUND(K165*(1+$C$9),2))</f>
        <v/>
      </c>
      <c r="O165" s="28">
        <f>IF(L165="","",ROUND(L165*(1+$C$9),2))</f>
        <v/>
      </c>
      <c r="P165" s="29">
        <f>TRIM(IF($B165="NOT ASSIGNED","No NW part no. ","")&amp;IFERROR(IF(INDEX(Conversion!$J$2:$J$500,MATCH($A165,Conversion!$B$2:$B$500,0))="Needs review","Conversion table: needs review. ",""),"")&amp;IF(LEFT($F165,8)="ESTIMATE","Weight estimated. ","")&amp;"")</f>
        <v/>
      </c>
      <c r="R165" s="8" t="n"/>
      <c r="S165" s="28">
        <f>IF(M165="","",ROUND(M165*(1-IF($R165="",$U$6,$R165)),2))</f>
        <v/>
      </c>
      <c r="T165" s="28">
        <f>IF(N165="","",ROUND(N165*(1-IF($R165="",$U$6,$R165)),2))</f>
        <v/>
      </c>
      <c r="U165" s="28">
        <f>IF(O165="","",ROUND(O165*(1-IF($R165="",$U$6,$R165)),2))</f>
        <v/>
      </c>
      <c r="V165" s="27">
        <f>IF(S165="","",S165-J165)</f>
        <v/>
      </c>
      <c r="W165" s="27">
        <f>IF(T165="","",T165-K165)</f>
        <v/>
      </c>
      <c r="X165" s="27">
        <f>IF(U165="","",U165-L165)</f>
        <v/>
      </c>
      <c r="Y165" s="30">
        <f>IF(OR(S165="",S165=0),"",V165/S165)</f>
        <v/>
      </c>
      <c r="Z165" s="30">
        <f>IF(OR(T165="",T165=0),"",W165/T165)</f>
        <v/>
      </c>
      <c r="AA165" s="30">
        <f>IF(OR(U165="",U165=0),"",X165/U165)</f>
        <v/>
      </c>
    </row>
    <row r="166"/>
    <row r="167">
      <c r="A167" s="32" t="inlineStr">
        <is>
          <t>Chrome plated brass ball bearing swivels</t>
        </is>
      </c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  <c r="O167" s="33" t="n"/>
      <c r="P167" s="33" t="n"/>
      <c r="R167" s="33" t="n"/>
      <c r="S167" s="33" t="n"/>
      <c r="T167" s="33" t="n"/>
      <c r="U167" s="33" t="n"/>
      <c r="V167" s="33" t="n"/>
      <c r="W167" s="33" t="n"/>
      <c r="X167" s="33" t="n"/>
      <c r="Y167" s="33" t="n"/>
      <c r="Z167" s="33" t="n"/>
      <c r="AA167" s="33" t="n"/>
    </row>
    <row r="168"/>
    <row r="169">
      <c r="A169" s="19" t="inlineStr">
        <is>
          <t>SWC09-12</t>
        </is>
      </c>
      <c r="B169" s="20">
        <f>IFERROR(INDEX(Conversion!$C$2:$C$500,MATCH($A169,Conversion!$B$2:$B$500,0)),"NOT ASSIGNED")</f>
        <v/>
      </c>
      <c r="C169" s="21" t="inlineStr">
        <is>
          <t>Chrome plated brass ball bearing swivel, 1/2" male x 1/2" female, 9mm bore, flat seals</t>
        </is>
      </c>
      <c r="D169" s="22" t="inlineStr">
        <is>
          <t>Ball bearing swivel, 1/2" M x 1/2" F, 9 mm bore, chrome-plated brass</t>
        </is>
      </c>
      <c r="E169" s="31" t="n">
        <v>0.09</v>
      </c>
      <c r="F169" s="24" t="inlineStr">
        <is>
          <t>ESTIMATE - catalogue gives dimensions only (p.68-71)</t>
        </is>
      </c>
      <c r="G169" s="25" t="n">
        <v>12.978768</v>
      </c>
      <c r="H169" s="25" t="n">
        <v>11.356422</v>
      </c>
      <c r="I169" s="25" t="n">
        <v>10.545249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  <c r="R169" s="8" t="n"/>
      <c r="S169" s="28">
        <f>IF(M169="","",ROUND(M169*(1-IF($R169="",$U$6,$R169)),2))</f>
        <v/>
      </c>
      <c r="T169" s="28">
        <f>IF(N169="","",ROUND(N169*(1-IF($R169="",$U$6,$R169)),2))</f>
        <v/>
      </c>
      <c r="U169" s="28">
        <f>IF(O169="","",ROUND(O169*(1-IF($R169="",$U$6,$R169)),2))</f>
        <v/>
      </c>
      <c r="V169" s="27">
        <f>IF(S169="","",S169-J169)</f>
        <v/>
      </c>
      <c r="W169" s="27">
        <f>IF(T169="","",T169-K169)</f>
        <v/>
      </c>
      <c r="X169" s="27">
        <f>IF(U169="","",U169-L169)</f>
        <v/>
      </c>
      <c r="Y169" s="30">
        <f>IF(OR(S169="",S169=0),"",V169/S169)</f>
        <v/>
      </c>
      <c r="Z169" s="30">
        <f>IF(OR(T169="",T169=0),"",W169/T169)</f>
        <v/>
      </c>
      <c r="AA169" s="30">
        <f>IF(OR(U169="",U169=0),"",X169/U169)</f>
        <v/>
      </c>
    </row>
    <row r="170">
      <c r="A170" s="19" t="inlineStr">
        <is>
          <t>SWC09-34</t>
        </is>
      </c>
      <c r="B170" s="20">
        <f>IFERROR(INDEX(Conversion!$C$2:$C$500,MATCH($A170,Conversion!$B$2:$B$500,0)),"NOT ASSIGNED")</f>
        <v/>
      </c>
      <c r="C170" s="21" t="inlineStr">
        <is>
          <t>Chrome plated brass ball bearing swivel, 1/2" male x 3/4" female, 9mm bore, flat seals</t>
        </is>
      </c>
      <c r="D170" s="22" t="inlineStr">
        <is>
          <t>Ball bearing swivel, 1/2" M x 3/4" F, 9 mm bore, chrome-plated brass</t>
        </is>
      </c>
      <c r="E170" s="31" t="n">
        <v>0.1</v>
      </c>
      <c r="F170" s="24" t="inlineStr">
        <is>
          <t>ESTIMATE - catalogue gives dimensions only (p.68-71)</t>
        </is>
      </c>
      <c r="G170" s="25" t="n">
        <v>12.978768</v>
      </c>
      <c r="H170" s="25" t="n">
        <v>11.356422</v>
      </c>
      <c r="I170" s="25" t="n">
        <v>10.545249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  <c r="R170" s="8" t="n"/>
      <c r="S170" s="28">
        <f>IF(M170="","",ROUND(M170*(1-IF($R170="",$U$6,$R170)),2))</f>
        <v/>
      </c>
      <c r="T170" s="28">
        <f>IF(N170="","",ROUND(N170*(1-IF($R170="",$U$6,$R170)),2))</f>
        <v/>
      </c>
      <c r="U170" s="28">
        <f>IF(O170="","",ROUND(O170*(1-IF($R170="",$U$6,$R170)),2))</f>
        <v/>
      </c>
      <c r="V170" s="27">
        <f>IF(S170="","",S170-J170)</f>
        <v/>
      </c>
      <c r="W170" s="27">
        <f>IF(T170="","",T170-K170)</f>
        <v/>
      </c>
      <c r="X170" s="27">
        <f>IF(U170="","",U170-L170)</f>
        <v/>
      </c>
      <c r="Y170" s="30">
        <f>IF(OR(S170="",S170=0),"",V170/S170)</f>
        <v/>
      </c>
      <c r="Z170" s="30">
        <f>IF(OR(T170="",T170=0),"",W170/T170)</f>
        <v/>
      </c>
      <c r="AA170" s="30">
        <f>IF(OR(U170="",U170=0),"",X170/U170)</f>
        <v/>
      </c>
    </row>
    <row r="171"/>
    <row r="172">
      <c r="A172" s="32" t="inlineStr">
        <is>
          <t>Stainless steel 316 ball bearing swivels</t>
        </is>
      </c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  <c r="O172" s="33" t="n"/>
      <c r="P172" s="33" t="n"/>
      <c r="R172" s="33" t="n"/>
      <c r="S172" s="33" t="n"/>
      <c r="T172" s="33" t="n"/>
      <c r="U172" s="33" t="n"/>
      <c r="V172" s="33" t="n"/>
      <c r="W172" s="33" t="n"/>
      <c r="X172" s="33" t="n"/>
      <c r="Y172" s="33" t="n"/>
      <c r="Z172" s="33" t="n"/>
      <c r="AA172" s="33" t="n"/>
    </row>
    <row r="173"/>
    <row r="174">
      <c r="A174" s="19" t="inlineStr">
        <is>
          <t>SWR09-12</t>
        </is>
      </c>
      <c r="B174" s="20">
        <f>IFERROR(INDEX(Conversion!$C$2:$C$500,MATCH($A174,Conversion!$B$2:$B$500,0)),"NOT ASSIGNED")</f>
        <v/>
      </c>
      <c r="C174" s="21" t="inlineStr">
        <is>
          <t>St.st. ball bearing swivel, 1/2" male x 1/2" female, 9mm bore, flat seals</t>
        </is>
      </c>
      <c r="D174" s="22" t="inlineStr">
        <is>
          <t>Ball bearing swivel, 1/2" M x 1/2" F, 9 mm bore, stainless steel 316</t>
        </is>
      </c>
      <c r="E174" s="31" t="n">
        <v>0.09</v>
      </c>
      <c r="F174" s="24" t="inlineStr">
        <is>
          <t>ESTIMATE - catalogue gives dimensions only (p.68-71)</t>
        </is>
      </c>
      <c r="G174" s="25" t="n">
        <v>20.076144</v>
      </c>
      <c r="H174" s="25" t="n">
        <v>17.566626</v>
      </c>
      <c r="I174" s="25" t="n">
        <v>16.311867</v>
      </c>
      <c r="J174" s="27">
        <f>IF(G174="","",G174/$C$5*(1+$C$8)+$E174*(1+$C$7)*$C$6)</f>
        <v/>
      </c>
      <c r="K174" s="27">
        <f>IF(H174="","",H174/$C$5*(1+$C$8)+$E174*(1+$C$7)*$C$6)</f>
        <v/>
      </c>
      <c r="L174" s="27">
        <f>IF(I174="","",I174/$C$5*(1+$C$8)+$E174*(1+$C$7)*$C$6)</f>
        <v/>
      </c>
      <c r="M174" s="28">
        <f>IF(J174="","",ROUND(J174*(1+$C$9),2))</f>
        <v/>
      </c>
      <c r="N174" s="28">
        <f>IF(K174="","",ROUND(K174*(1+$C$9),2))</f>
        <v/>
      </c>
      <c r="O174" s="28">
        <f>IF(L174="","",ROUND(L174*(1+$C$9),2))</f>
        <v/>
      </c>
      <c r="P174" s="29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  <c r="R174" s="8" t="n"/>
      <c r="S174" s="28">
        <f>IF(M174="","",ROUND(M174*(1-IF($R174="",$U$6,$R174)),2))</f>
        <v/>
      </c>
      <c r="T174" s="28">
        <f>IF(N174="","",ROUND(N174*(1-IF($R174="",$U$6,$R174)),2))</f>
        <v/>
      </c>
      <c r="U174" s="28">
        <f>IF(O174="","",ROUND(O174*(1-IF($R174="",$U$6,$R174)),2))</f>
        <v/>
      </c>
      <c r="V174" s="27">
        <f>IF(S174="","",S174-J174)</f>
        <v/>
      </c>
      <c r="W174" s="27">
        <f>IF(T174="","",T174-K174)</f>
        <v/>
      </c>
      <c r="X174" s="27">
        <f>IF(U174="","",U174-L174)</f>
        <v/>
      </c>
      <c r="Y174" s="30">
        <f>IF(OR(S174="",S174=0),"",V174/S174)</f>
        <v/>
      </c>
      <c r="Z174" s="30">
        <f>IF(OR(T174="",T174=0),"",W174/T174)</f>
        <v/>
      </c>
      <c r="AA174" s="30">
        <f>IF(OR(U174="",U174=0),"",X174/U174)</f>
        <v/>
      </c>
    </row>
    <row r="175">
      <c r="A175" s="19" t="inlineStr">
        <is>
          <t>SWR09-34</t>
        </is>
      </c>
      <c r="B175" s="20">
        <f>IFERROR(INDEX(Conversion!$C$2:$C$500,MATCH($A175,Conversion!$B$2:$B$500,0)),"NOT ASSIGNED")</f>
        <v/>
      </c>
      <c r="C175" s="21" t="inlineStr">
        <is>
          <t>St.st. ball bearing swivel, 1/2" male x 3/4" female, 9mm bore, flat seals</t>
        </is>
      </c>
      <c r="D175" s="22" t="inlineStr">
        <is>
          <t>Ball bearing swivel, 1/2" M x 3/4" F, 9 mm bore, stainless steel 316</t>
        </is>
      </c>
      <c r="E175" s="31" t="n">
        <v>0.1</v>
      </c>
      <c r="F175" s="24" t="inlineStr">
        <is>
          <t>ESTIMATE - catalogue gives dimensions only (p.68-71)</t>
        </is>
      </c>
      <c r="G175" s="25" t="n">
        <v>20.382208</v>
      </c>
      <c r="H175" s="25" t="n">
        <v>17.834432</v>
      </c>
      <c r="I175" s="25" t="n">
        <v>16.560544</v>
      </c>
      <c r="J175" s="27">
        <f>IF(G175="","",G175/$C$5*(1+$C$8)+$E175*(1+$C$7)*$C$6)</f>
        <v/>
      </c>
      <c r="K175" s="27">
        <f>IF(H175="","",H175/$C$5*(1+$C$8)+$E175*(1+$C$7)*$C$6)</f>
        <v/>
      </c>
      <c r="L175" s="27">
        <f>IF(I175="","",I175/$C$5*(1+$C$8)+$E175*(1+$C$7)*$C$6)</f>
        <v/>
      </c>
      <c r="M175" s="28">
        <f>IF(J175="","",ROUND(J175*(1+$C$9),2))</f>
        <v/>
      </c>
      <c r="N175" s="28">
        <f>IF(K175="","",ROUND(K175*(1+$C$9),2))</f>
        <v/>
      </c>
      <c r="O175" s="28">
        <f>IF(L175="","",ROUND(L175*(1+$C$9),2))</f>
        <v/>
      </c>
      <c r="P175" s="29">
        <f>TRIM(IF($B175="NOT ASSIGNED","No NW part no. ","")&amp;IFERROR(IF(INDEX(Conversion!$J$2:$J$500,MATCH($A175,Conversion!$B$2:$B$500,0))="Needs review","Conversion table: needs review. ",""),"")&amp;IF(LEFT($F175,8)="ESTIMATE","Weight estimated. ","")&amp;"")</f>
        <v/>
      </c>
      <c r="R175" s="8" t="n"/>
      <c r="S175" s="28">
        <f>IF(M175="","",ROUND(M175*(1-IF($R175="",$U$6,$R175)),2))</f>
        <v/>
      </c>
      <c r="T175" s="28">
        <f>IF(N175="","",ROUND(N175*(1-IF($R175="",$U$6,$R175)),2))</f>
        <v/>
      </c>
      <c r="U175" s="28">
        <f>IF(O175="","",ROUND(O175*(1-IF($R175="",$U$6,$R175)),2))</f>
        <v/>
      </c>
      <c r="V175" s="27">
        <f>IF(S175="","",S175-J175)</f>
        <v/>
      </c>
      <c r="W175" s="27">
        <f>IF(T175="","",T175-K175)</f>
        <v/>
      </c>
      <c r="X175" s="27">
        <f>IF(U175="","",U175-L175)</f>
        <v/>
      </c>
      <c r="Y175" s="30">
        <f>IF(OR(S175="",S175=0),"",V175/S175)</f>
        <v/>
      </c>
      <c r="Z175" s="30">
        <f>IF(OR(T175="",T175=0),"",W175/T175)</f>
        <v/>
      </c>
      <c r="AA175" s="30">
        <f>IF(OR(U175="",U175=0),"",X175/U175)</f>
        <v/>
      </c>
    </row>
    <row r="176">
      <c r="A176" s="19" t="inlineStr">
        <is>
          <t>SWR14-34</t>
        </is>
      </c>
      <c r="B176" s="20">
        <f>IFERROR(INDEX(Conversion!$C$2:$C$500,MATCH($A176,Conversion!$B$2:$B$500,0)),"NOT ASSIGNED")</f>
        <v/>
      </c>
      <c r="C176" s="21" t="inlineStr">
        <is>
          <t>St.st. ball bearing swivel, 1/2" male x 3/4" female, 14mm bore, flat seals</t>
        </is>
      </c>
      <c r="D176" s="22" t="inlineStr">
        <is>
          <t>Ball bearing swivel, 1/2" M x 3/4" F, 14 mm bore, stainless steel 316</t>
        </is>
      </c>
      <c r="E176" s="31" t="n">
        <v>0.13</v>
      </c>
      <c r="F176" s="24" t="inlineStr">
        <is>
          <t>ESTIMATE - catalogue gives dimensions only (p.68-71)</t>
        </is>
      </c>
      <c r="G176" s="25" t="n">
        <v>21.498928</v>
      </c>
      <c r="H176" s="25" t="n">
        <v>18.811562</v>
      </c>
      <c r="I176" s="25" t="n">
        <v>17.467879</v>
      </c>
      <c r="J176" s="27">
        <f>IF(G176="","",G176/$C$5*(1+$C$8)+$E176*(1+$C$7)*$C$6)</f>
        <v/>
      </c>
      <c r="K176" s="27">
        <f>IF(H176="","",H176/$C$5*(1+$C$8)+$E176*(1+$C$7)*$C$6)</f>
        <v/>
      </c>
      <c r="L176" s="27">
        <f>IF(I176="","",I176/$C$5*(1+$C$8)+$E176*(1+$C$7)*$C$6)</f>
        <v/>
      </c>
      <c r="M176" s="28">
        <f>IF(J176="","",ROUND(J176*(1+$C$9),2))</f>
        <v/>
      </c>
      <c r="N176" s="28">
        <f>IF(K176="","",ROUND(K176*(1+$C$9),2))</f>
        <v/>
      </c>
      <c r="O176" s="28">
        <f>IF(L176="","",ROUND(L176*(1+$C$9),2))</f>
        <v/>
      </c>
      <c r="P176" s="29">
        <f>TRIM(IF($B176="NOT ASSIGNED","No NW part no. ","")&amp;IFERROR(IF(INDEX(Conversion!$J$2:$J$500,MATCH($A176,Conversion!$B$2:$B$500,0))="Needs review","Conversion table: needs review. ",""),"")&amp;IF(LEFT($F176,8)="ESTIMATE","Weight estimated. ","")&amp;"")</f>
        <v/>
      </c>
      <c r="R176" s="8" t="n"/>
      <c r="S176" s="28">
        <f>IF(M176="","",ROUND(M176*(1-IF($R176="",$U$6,$R176)),2))</f>
        <v/>
      </c>
      <c r="T176" s="28">
        <f>IF(N176="","",ROUND(N176*(1-IF($R176="",$U$6,$R176)),2))</f>
        <v/>
      </c>
      <c r="U176" s="28">
        <f>IF(O176="","",ROUND(O176*(1-IF($R176="",$U$6,$R176)),2))</f>
        <v/>
      </c>
      <c r="V176" s="27">
        <f>IF(S176="","",S176-J176)</f>
        <v/>
      </c>
      <c r="W176" s="27">
        <f>IF(T176="","",T176-K176)</f>
        <v/>
      </c>
      <c r="X176" s="27">
        <f>IF(U176="","",U176-L176)</f>
        <v/>
      </c>
      <c r="Y176" s="30">
        <f>IF(OR(S176="",S176=0),"",V176/S176)</f>
        <v/>
      </c>
      <c r="Z176" s="30">
        <f>IF(OR(T176="",T176=0),"",W176/T176)</f>
        <v/>
      </c>
      <c r="AA176" s="30">
        <f>IF(OR(U176="",U176=0),"",X176/U176)</f>
        <v/>
      </c>
    </row>
    <row r="177">
      <c r="A177" s="19" t="inlineStr">
        <is>
          <t>SWR14-34X34</t>
        </is>
      </c>
      <c r="B177" s="20">
        <f>IFERROR(INDEX(Conversion!$C$2:$C$500,MATCH($A177,Conversion!$B$2:$B$500,0)),"NOT ASSIGNED")</f>
        <v/>
      </c>
      <c r="C177" s="21" t="inlineStr">
        <is>
          <t>St. st. ball bearing swivel, 3/4" male x 3/4" female, 14mm bore, flat seals</t>
        </is>
      </c>
      <c r="D177" s="22" t="inlineStr">
        <is>
          <t>Ball bearing swivel, 3/4" M x 3/4" F, 14 mm bore, stainless steel 316</t>
        </is>
      </c>
      <c r="E177" s="31" t="n">
        <v>0.15</v>
      </c>
      <c r="F177" s="24" t="inlineStr">
        <is>
          <t>ESTIMATE - catalogue gives dimensions only (p.68-71)</t>
        </is>
      </c>
      <c r="G177" s="25" t="n">
        <v>24.948352</v>
      </c>
      <c r="H177" s="25" t="n">
        <v>21.829808</v>
      </c>
      <c r="I177" s="25" t="n">
        <v>20.270536</v>
      </c>
      <c r="J177" s="27">
        <f>IF(G177="","",G177/$C$5*(1+$C$8)+$E177*(1+$C$7)*$C$6)</f>
        <v/>
      </c>
      <c r="K177" s="27">
        <f>IF(H177="","",H177/$C$5*(1+$C$8)+$E177*(1+$C$7)*$C$6)</f>
        <v/>
      </c>
      <c r="L177" s="27">
        <f>IF(I177="","",I177/$C$5*(1+$C$8)+$E177*(1+$C$7)*$C$6)</f>
        <v/>
      </c>
      <c r="M177" s="28">
        <f>IF(J177="","",ROUND(J177*(1+$C$9),2))</f>
        <v/>
      </c>
      <c r="N177" s="28">
        <f>IF(K177="","",ROUND(K177*(1+$C$9),2))</f>
        <v/>
      </c>
      <c r="O177" s="28">
        <f>IF(L177="","",ROUND(L177*(1+$C$9),2))</f>
        <v/>
      </c>
      <c r="P177" s="29">
        <f>TRIM(IF($B177="NOT ASSIGNED","No NW part no. ","")&amp;IFERROR(IF(INDEX(Conversion!$J$2:$J$500,MATCH($A177,Conversion!$B$2:$B$500,0))="Needs review","Conversion table: needs review. ",""),"")&amp;IF(LEFT($F177,8)="ESTIMATE","Weight estimated. ","")&amp;"")</f>
        <v/>
      </c>
      <c r="R177" s="8" t="n"/>
      <c r="S177" s="28">
        <f>IF(M177="","",ROUND(M177*(1-IF($R177="",$U$6,$R177)),2))</f>
        <v/>
      </c>
      <c r="T177" s="28">
        <f>IF(N177="","",ROUND(N177*(1-IF($R177="",$U$6,$R177)),2))</f>
        <v/>
      </c>
      <c r="U177" s="28">
        <f>IF(O177="","",ROUND(O177*(1-IF($R177="",$U$6,$R177)),2))</f>
        <v/>
      </c>
      <c r="V177" s="27">
        <f>IF(S177="","",S177-J177)</f>
        <v/>
      </c>
      <c r="W177" s="27">
        <f>IF(T177="","",T177-K177)</f>
        <v/>
      </c>
      <c r="X177" s="27">
        <f>IF(U177="","",U177-L177)</f>
        <v/>
      </c>
      <c r="Y177" s="30">
        <f>IF(OR(S177="",S177=0),"",V177/S177)</f>
        <v/>
      </c>
      <c r="Z177" s="30">
        <f>IF(OR(T177="",T177=0),"",W177/T177)</f>
        <v/>
      </c>
      <c r="AA177" s="30">
        <f>IF(OR(U177="",U177=0),"",X177/U177)</f>
        <v/>
      </c>
    </row>
    <row r="178">
      <c r="A178" s="19" t="inlineStr">
        <is>
          <t>SWR18-1X1</t>
        </is>
      </c>
      <c r="B178" s="20">
        <f>IFERROR(INDEX(Conversion!$C$2:$C$500,MATCH($A178,Conversion!$B$2:$B$500,0)),"NOT ASSIGNED")</f>
        <v/>
      </c>
      <c r="C178" s="21" t="inlineStr">
        <is>
          <t>St.st. ball bearing swivel, 1" male x 1" female, 18mm bore, flat seals</t>
        </is>
      </c>
      <c r="D178" s="22" t="inlineStr">
        <is>
          <t>Ball bearing swivel, 1" M x 1" F, 18 mm bore, stainless steel 316</t>
        </is>
      </c>
      <c r="E178" s="31" t="n">
        <v>0.25</v>
      </c>
      <c r="F178" s="24" t="inlineStr">
        <is>
          <t>ESTIMATE - catalogue gives dimensions only (p.68-71)</t>
        </is>
      </c>
      <c r="G178" s="25" t="n">
        <v>32.451056</v>
      </c>
      <c r="H178" s="25" t="n">
        <v>28.394674</v>
      </c>
      <c r="I178" s="25" t="n">
        <v>26.366483</v>
      </c>
      <c r="J178" s="27">
        <f>IF(G178="","",G178/$C$5*(1+$C$8)+$E178*(1+$C$7)*$C$6)</f>
        <v/>
      </c>
      <c r="K178" s="27">
        <f>IF(H178="","",H178/$C$5*(1+$C$8)+$E178*(1+$C$7)*$C$6)</f>
        <v/>
      </c>
      <c r="L178" s="27">
        <f>IF(I178="","",I178/$C$5*(1+$C$8)+$E178*(1+$C$7)*$C$6)</f>
        <v/>
      </c>
      <c r="M178" s="28">
        <f>IF(J178="","",ROUND(J178*(1+$C$9),2))</f>
        <v/>
      </c>
      <c r="N178" s="28">
        <f>IF(K178="","",ROUND(K178*(1+$C$9),2))</f>
        <v/>
      </c>
      <c r="O178" s="28">
        <f>IF(L178="","",ROUND(L178*(1+$C$9),2))</f>
        <v/>
      </c>
      <c r="P178" s="29">
        <f>TRIM(IF($B178="NOT ASSIGNED","No NW part no. ","")&amp;IFERROR(IF(INDEX(Conversion!$J$2:$J$500,MATCH($A178,Conversion!$B$2:$B$500,0))="Needs review","Conversion table: needs review. ",""),"")&amp;IF(LEFT($F178,8)="ESTIMATE","Weight estimated. ","")&amp;"")</f>
        <v/>
      </c>
      <c r="R178" s="8" t="n"/>
      <c r="S178" s="28">
        <f>IF(M178="","",ROUND(M178*(1-IF($R178="",$U$6,$R178)),2))</f>
        <v/>
      </c>
      <c r="T178" s="28">
        <f>IF(N178="","",ROUND(N178*(1-IF($R178="",$U$6,$R178)),2))</f>
        <v/>
      </c>
      <c r="U178" s="28">
        <f>IF(O178="","",ROUND(O178*(1-IF($R178="",$U$6,$R178)),2))</f>
        <v/>
      </c>
      <c r="V178" s="27">
        <f>IF(S178="","",S178-J178)</f>
        <v/>
      </c>
      <c r="W178" s="27">
        <f>IF(T178="","",T178-K178)</f>
        <v/>
      </c>
      <c r="X178" s="27">
        <f>IF(U178="","",U178-L178)</f>
        <v/>
      </c>
      <c r="Y178" s="30">
        <f>IF(OR(S178="",S178=0),"",V178/S178)</f>
        <v/>
      </c>
      <c r="Z178" s="30">
        <f>IF(OR(T178="",T178=0),"",W178/T178)</f>
        <v/>
      </c>
      <c r="AA178" s="30">
        <f>IF(OR(U178="",U178=0),"",X178/U178)</f>
        <v/>
      </c>
    </row>
    <row r="179">
      <c r="A179" s="19" t="inlineStr">
        <is>
          <t>SWR09-12Mx12M</t>
        </is>
      </c>
      <c r="B179" s="20">
        <f>IFERROR(INDEX(Conversion!$C$2:$C$500,MATCH($A179,Conversion!$B$2:$B$500,0)),"NOT ASSIGNED")</f>
        <v/>
      </c>
      <c r="C179" s="21" t="inlineStr">
        <is>
          <t>St.st. ball bearing swivel, 1/2" male x 1/2" male, 9mm bore</t>
        </is>
      </c>
      <c r="D179" s="22" t="inlineStr">
        <is>
          <t>Ball bearing swivel, 1/2" M x 1/2" M, 9 mm bore, stainless steel 316</t>
        </is>
      </c>
      <c r="E179" s="31" t="n">
        <v>0.09</v>
      </c>
      <c r="F179" s="24" t="inlineStr">
        <is>
          <t>ESTIMATE - catalogue gives dimensions only (p.68-71)</t>
        </is>
      </c>
      <c r="G179" s="25" t="n">
        <v>20.746176</v>
      </c>
      <c r="H179" s="25" t="n">
        <v>18.152904</v>
      </c>
      <c r="I179" s="25" t="n">
        <v>16.856268</v>
      </c>
      <c r="J179" s="27">
        <f>IF(G179="","",G179/$C$5*(1+$C$8)+$E179*(1+$C$7)*$C$6)</f>
        <v/>
      </c>
      <c r="K179" s="27">
        <f>IF(H179="","",H179/$C$5*(1+$C$8)+$E179*(1+$C$7)*$C$6)</f>
        <v/>
      </c>
      <c r="L179" s="27">
        <f>IF(I179="","",I179/$C$5*(1+$C$8)+$E179*(1+$C$7)*$C$6)</f>
        <v/>
      </c>
      <c r="M179" s="28">
        <f>IF(J179="","",ROUND(J179*(1+$C$9),2))</f>
        <v/>
      </c>
      <c r="N179" s="28">
        <f>IF(K179="","",ROUND(K179*(1+$C$9),2))</f>
        <v/>
      </c>
      <c r="O179" s="28">
        <f>IF(L179="","",ROUND(L179*(1+$C$9),2))</f>
        <v/>
      </c>
      <c r="P179" s="29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  <c r="R179" s="8" t="n"/>
      <c r="S179" s="28">
        <f>IF(M179="","",ROUND(M179*(1-IF($R179="",$U$6,$R179)),2))</f>
        <v/>
      </c>
      <c r="T179" s="28">
        <f>IF(N179="","",ROUND(N179*(1-IF($R179="",$U$6,$R179)),2))</f>
        <v/>
      </c>
      <c r="U179" s="28">
        <f>IF(O179="","",ROUND(O179*(1-IF($R179="",$U$6,$R179)),2))</f>
        <v/>
      </c>
      <c r="V179" s="27">
        <f>IF(S179="","",S179-J179)</f>
        <v/>
      </c>
      <c r="W179" s="27">
        <f>IF(T179="","",T179-K179)</f>
        <v/>
      </c>
      <c r="X179" s="27">
        <f>IF(U179="","",U179-L179)</f>
        <v/>
      </c>
      <c r="Y179" s="30">
        <f>IF(OR(S179="",S179=0),"",V179/S179)</f>
        <v/>
      </c>
      <c r="Z179" s="30">
        <f>IF(OR(T179="",T179=0),"",W179/T179)</f>
        <v/>
      </c>
      <c r="AA179" s="30">
        <f>IF(OR(U179="",U179=0),"",X179/U179)</f>
        <v/>
      </c>
    </row>
    <row r="180">
      <c r="A180" s="19" t="inlineStr">
        <is>
          <t>SWR09-12MX34M</t>
        </is>
      </c>
      <c r="B180" s="20">
        <f>IFERROR(INDEX(Conversion!$C$2:$C$500,MATCH($A180,Conversion!$B$2:$B$500,0)),"NOT ASSIGNED")</f>
        <v/>
      </c>
      <c r="C180" s="21" t="inlineStr">
        <is>
          <t>St.st. ball bearing swivel, 1/2" male x 3/4" male, 9mm bore, flat seal</t>
        </is>
      </c>
      <c r="D180" s="22" t="inlineStr">
        <is>
          <t>Ball bearing swivel, 1/2" M x 3/4" M, 9 mm bore, stainless steel 316</t>
        </is>
      </c>
      <c r="E180" s="31" t="n">
        <v>0.1</v>
      </c>
      <c r="F180" s="24" t="inlineStr">
        <is>
          <t>ESTIMATE - catalogue gives dimensions only (p.68-71)</t>
        </is>
      </c>
      <c r="G180" s="25" t="n">
        <v>20.746176</v>
      </c>
      <c r="H180" s="25" t="n">
        <v>18.152904</v>
      </c>
      <c r="I180" s="25" t="n">
        <v>16.856268</v>
      </c>
      <c r="J180" s="27">
        <f>IF(G180="","",G180/$C$5*(1+$C$8)+$E180*(1+$C$7)*$C$6)</f>
        <v/>
      </c>
      <c r="K180" s="27">
        <f>IF(H180="","",H180/$C$5*(1+$C$8)+$E180*(1+$C$7)*$C$6)</f>
        <v/>
      </c>
      <c r="L180" s="27">
        <f>IF(I180="","",I180/$C$5*(1+$C$8)+$E180*(1+$C$7)*$C$6)</f>
        <v/>
      </c>
      <c r="M180" s="28">
        <f>IF(J180="","",ROUND(J180*(1+$C$9),2))</f>
        <v/>
      </c>
      <c r="N180" s="28">
        <f>IF(K180="","",ROUND(K180*(1+$C$9),2))</f>
        <v/>
      </c>
      <c r="O180" s="28">
        <f>IF(L180="","",ROUND(L180*(1+$C$9),2))</f>
        <v/>
      </c>
      <c r="P180" s="29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  <c r="R180" s="8" t="n"/>
      <c r="S180" s="28">
        <f>IF(M180="","",ROUND(M180*(1-IF($R180="",$U$6,$R180)),2))</f>
        <v/>
      </c>
      <c r="T180" s="28">
        <f>IF(N180="","",ROUND(N180*(1-IF($R180="",$U$6,$R180)),2))</f>
        <v/>
      </c>
      <c r="U180" s="28">
        <f>IF(O180="","",ROUND(O180*(1-IF($R180="",$U$6,$R180)),2))</f>
        <v/>
      </c>
      <c r="V180" s="27">
        <f>IF(S180="","",S180-J180)</f>
        <v/>
      </c>
      <c r="W180" s="27">
        <f>IF(T180="","",T180-K180)</f>
        <v/>
      </c>
      <c r="X180" s="27">
        <f>IF(U180="","",U180-L180)</f>
        <v/>
      </c>
      <c r="Y180" s="30">
        <f>IF(OR(S180="",S180=0),"",V180/S180)</f>
        <v/>
      </c>
      <c r="Z180" s="30">
        <f>IF(OR(T180="",T180=0),"",W180/T180)</f>
        <v/>
      </c>
      <c r="AA180" s="30">
        <f>IF(OR(U180="",U180=0),"",X180/U180)</f>
        <v/>
      </c>
    </row>
    <row r="181"/>
    <row r="182">
      <c r="A182" s="14" t="inlineStr">
        <is>
          <t>Swiveling hose tails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</row>
    <row r="183"/>
    <row r="184">
      <c r="A184" s="16" t="inlineStr">
        <is>
          <t>Qty break</t>
        </is>
      </c>
      <c r="B184" s="17" t="n"/>
      <c r="C184" s="17" t="n"/>
      <c r="D184" s="17" t="n"/>
      <c r="E184" s="17" t="n"/>
      <c r="F184" s="17" t="n"/>
      <c r="G184" s="18" t="inlineStr">
        <is>
          <t>&lt; 10 pcs</t>
        </is>
      </c>
      <c r="H184" s="18" t="inlineStr">
        <is>
          <t>≥ 10 pcs</t>
        </is>
      </c>
      <c r="I184" s="18" t="inlineStr">
        <is>
          <t>≥ 50 pcs</t>
        </is>
      </c>
      <c r="J184" s="18" t="inlineStr">
        <is>
          <t>&lt; 10 pcs</t>
        </is>
      </c>
      <c r="K184" s="18" t="inlineStr">
        <is>
          <t>≥ 10 pcs</t>
        </is>
      </c>
      <c r="L184" s="18" t="inlineStr">
        <is>
          <t>≥ 50 pcs</t>
        </is>
      </c>
      <c r="M184" s="18" t="inlineStr">
        <is>
          <t>&lt; 10 pcs</t>
        </is>
      </c>
      <c r="N184" s="18" t="inlineStr">
        <is>
          <t>≥ 10 pcs</t>
        </is>
      </c>
      <c r="O184" s="18" t="inlineStr">
        <is>
          <t>≥ 50 pcs</t>
        </is>
      </c>
      <c r="P184" s="17" t="n"/>
      <c r="R184" s="17" t="n"/>
      <c r="S184" s="18" t="inlineStr">
        <is>
          <t>&lt; 10 pcs</t>
        </is>
      </c>
      <c r="T184" s="18" t="inlineStr">
        <is>
          <t>≥ 10 pcs</t>
        </is>
      </c>
      <c r="U184" s="18" t="inlineStr">
        <is>
          <t>≥ 50 pcs</t>
        </is>
      </c>
      <c r="V184" s="18" t="inlineStr">
        <is>
          <t>&lt; 10 pcs</t>
        </is>
      </c>
      <c r="W184" s="18" t="inlineStr">
        <is>
          <t>≥ 10 pcs</t>
        </is>
      </c>
      <c r="X184" s="18" t="inlineStr">
        <is>
          <t>≥ 50 pcs</t>
        </is>
      </c>
      <c r="Y184" s="18" t="inlineStr">
        <is>
          <t>&lt; 10 pcs</t>
        </is>
      </c>
      <c r="Z184" s="18" t="inlineStr">
        <is>
          <t>≥ 10 pcs</t>
        </is>
      </c>
      <c r="AA184" s="18" t="inlineStr">
        <is>
          <t>≥ 50 pcs</t>
        </is>
      </c>
    </row>
    <row r="185">
      <c r="A185" s="32" t="inlineStr">
        <is>
          <t>Up to 24 bar</t>
        </is>
      </c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  <c r="O185" s="33" t="n"/>
      <c r="P185" s="33" t="n"/>
      <c r="R185" s="33" t="n"/>
      <c r="S185" s="33" t="n"/>
      <c r="T185" s="33" t="n"/>
      <c r="U185" s="33" t="n"/>
      <c r="V185" s="33" t="n"/>
      <c r="W185" s="33" t="n"/>
      <c r="X185" s="33" t="n"/>
      <c r="Y185" s="33" t="n"/>
      <c r="Z185" s="33" t="n"/>
      <c r="AA185" s="33" t="n"/>
    </row>
    <row r="186"/>
    <row r="187">
      <c r="A187" s="19" t="inlineStr">
        <is>
          <t>SWIFM1/2</t>
        </is>
      </c>
      <c r="B187" s="20">
        <f>IFERROR(INDEX(Conversion!$C$2:$C$500,MATCH($A187,Conversion!$B$2:$B$500,0)),"NOT ASSIGNED")</f>
        <v/>
      </c>
      <c r="C187" s="21" t="inlineStr">
        <is>
          <t>Brass swivelling hose tail 13mm x 1/2" male</t>
        </is>
      </c>
      <c r="D187" s="22" t="inlineStr">
        <is>
          <t>Swivel hose tail, 13 mm x 1/2" M, brass</t>
        </is>
      </c>
      <c r="E187" s="31" t="n">
        <v>0.06</v>
      </c>
      <c r="F187" s="24" t="inlineStr">
        <is>
          <t>ESTIMATE - catalogue gives dimensions only (p.68-71)</t>
        </is>
      </c>
      <c r="G187" s="25" t="n">
        <v>4.061552</v>
      </c>
      <c r="H187" s="25" t="n">
        <v>3.553858</v>
      </c>
      <c r="I187" s="25" t="n">
        <v>3.300011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  <c r="R187" s="8" t="n"/>
      <c r="S187" s="28">
        <f>IF(M187="","",ROUND(M187*(1-IF($R187="",$U$6,$R187)),2))</f>
        <v/>
      </c>
      <c r="T187" s="28">
        <f>IF(N187="","",ROUND(N187*(1-IF($R187="",$U$6,$R187)),2))</f>
        <v/>
      </c>
      <c r="U187" s="28">
        <f>IF(O187="","",ROUND(O187*(1-IF($R187="",$U$6,$R187)),2))</f>
        <v/>
      </c>
      <c r="V187" s="27">
        <f>IF(S187="","",S187-J187)</f>
        <v/>
      </c>
      <c r="W187" s="27">
        <f>IF(T187="","",T187-K187)</f>
        <v/>
      </c>
      <c r="X187" s="27">
        <f>IF(U187="","",U187-L187)</f>
        <v/>
      </c>
      <c r="Y187" s="30">
        <f>IF(OR(S187="",S187=0),"",V187/S187)</f>
        <v/>
      </c>
      <c r="Z187" s="30">
        <f>IF(OR(T187="",T187=0),"",W187/T187)</f>
        <v/>
      </c>
      <c r="AA187" s="30">
        <f>IF(OR(U187="",U187=0),"",X187/U187)</f>
        <v/>
      </c>
    </row>
    <row r="188">
      <c r="A188" s="19" t="inlineStr">
        <is>
          <t>SWIFR1/2</t>
        </is>
      </c>
      <c r="B188" s="20">
        <f>IFERROR(INDEX(Conversion!$C$2:$C$500,MATCH($A188,Conversion!$B$2:$B$500,0)),"NOT ASSIGNED")</f>
        <v/>
      </c>
      <c r="C188" s="21" t="inlineStr">
        <is>
          <t>Stainless steel swivelling hose tail 13mm x 1/2" male</t>
        </is>
      </c>
      <c r="D188" s="22" t="inlineStr">
        <is>
          <t>Swivel hose tail, 13 mm x 1/2" M, stainless steel 316</t>
        </is>
      </c>
      <c r="E188" s="31" t="n">
        <v>0.06</v>
      </c>
      <c r="F188" s="24" t="inlineStr">
        <is>
          <t>ESTIMATE - catalogue gives dimensions only (p.68-71)</t>
        </is>
      </c>
      <c r="G188" s="25" t="n">
        <v>12.176384</v>
      </c>
      <c r="H188" s="25" t="n">
        <v>10.654336</v>
      </c>
      <c r="I188" s="25" t="n">
        <v>9.893312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  <c r="R188" s="8" t="n"/>
      <c r="S188" s="28">
        <f>IF(M188="","",ROUND(M188*(1-IF($R188="",$U$6,$R188)),2))</f>
        <v/>
      </c>
      <c r="T188" s="28">
        <f>IF(N188="","",ROUND(N188*(1-IF($R188="",$U$6,$R188)),2))</f>
        <v/>
      </c>
      <c r="U188" s="28">
        <f>IF(O188="","",ROUND(O188*(1-IF($R188="",$U$6,$R188)),2))</f>
        <v/>
      </c>
      <c r="V188" s="27">
        <f>IF(S188="","",S188-J188)</f>
        <v/>
      </c>
      <c r="W188" s="27">
        <f>IF(T188="","",T188-K188)</f>
        <v/>
      </c>
      <c r="X188" s="27">
        <f>IF(U188="","",U188-L188)</f>
        <v/>
      </c>
      <c r="Y188" s="30">
        <f>IF(OR(S188="",S188=0),"",V188/S188)</f>
        <v/>
      </c>
      <c r="Z188" s="30">
        <f>IF(OR(T188="",T188=0),"",W188/T188)</f>
        <v/>
      </c>
      <c r="AA188" s="30">
        <f>IF(OR(U188="",U188=0),"",X188/U188)</f>
        <v/>
      </c>
    </row>
    <row r="189"/>
    <row r="190">
      <c r="A190" s="32" t="inlineStr">
        <is>
          <t>Up to 40 bar with full bore</t>
        </is>
      </c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  <c r="O190" s="33" t="n"/>
      <c r="P190" s="33" t="n"/>
      <c r="R190" s="33" t="n"/>
      <c r="S190" s="33" t="n"/>
      <c r="T190" s="33" t="n"/>
      <c r="U190" s="33" t="n"/>
      <c r="V190" s="33" t="n"/>
      <c r="W190" s="33" t="n"/>
      <c r="X190" s="33" t="n"/>
      <c r="Y190" s="33" t="n"/>
      <c r="Z190" s="33" t="n"/>
      <c r="AA190" s="33" t="n"/>
    </row>
    <row r="191"/>
    <row r="192">
      <c r="A192" s="19" t="inlineStr">
        <is>
          <t>SWIFB10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10mm x 1/2" BSPT male</t>
        </is>
      </c>
      <c r="D192" s="22" t="inlineStr">
        <is>
          <t>Swivel hose tail, full bore, 10 mm x 1/2" BSPT M, stainless steel 316</t>
        </is>
      </c>
      <c r="E192" s="31" t="n">
        <v>0.08</v>
      </c>
      <c r="F192" s="24" t="inlineStr">
        <is>
          <t>ESTIMATE - catalogue gives dimensions only (p.68-71)</t>
        </is>
      </c>
      <c r="G192" s="25" t="n">
        <v>16.436464</v>
      </c>
      <c r="H192" s="25" t="n">
        <v>14.381906</v>
      </c>
      <c r="I192" s="25" t="n">
        <v>13.354627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  <c r="R192" s="8" t="n"/>
      <c r="S192" s="28">
        <f>IF(M192="","",ROUND(M192*(1-IF($R192="",$U$6,$R192)),2))</f>
        <v/>
      </c>
      <c r="T192" s="28">
        <f>IF(N192="","",ROUND(N192*(1-IF($R192="",$U$6,$R192)),2))</f>
        <v/>
      </c>
      <c r="U192" s="28">
        <f>IF(O192="","",ROUND(O192*(1-IF($R192="",$U$6,$R192)),2))</f>
        <v/>
      </c>
      <c r="V192" s="27">
        <f>IF(S192="","",S192-J192)</f>
        <v/>
      </c>
      <c r="W192" s="27">
        <f>IF(T192="","",T192-K192)</f>
        <v/>
      </c>
      <c r="X192" s="27">
        <f>IF(U192="","",U192-L192)</f>
        <v/>
      </c>
      <c r="Y192" s="30">
        <f>IF(OR(S192="",S192=0),"",V192/S192)</f>
        <v/>
      </c>
      <c r="Z192" s="30">
        <f>IF(OR(T192="",T192=0),"",W192/T192)</f>
        <v/>
      </c>
      <c r="AA192" s="30">
        <f>IF(OR(U192="",U192=0),"",X192/U192)</f>
        <v/>
      </c>
    </row>
    <row r="193">
      <c r="A193" s="19" t="inlineStr">
        <is>
          <t>SWIFB13-C17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13mm x 1/2" male, 17mm collar</t>
        </is>
      </c>
      <c r="D193" s="22" t="inlineStr">
        <is>
          <t>Swivel hose tail, full bore, 13 mm x 1/2" M, 17 mm collar, stainless steel 316</t>
        </is>
      </c>
      <c r="E193" s="31" t="n">
        <v>0.09</v>
      </c>
      <c r="F193" s="24" t="inlineStr">
        <is>
          <t>ESTIMATE - catalogue gives dimensions only (p.68-71)</t>
        </is>
      </c>
      <c r="G193" s="25" t="n">
        <v>18.967696</v>
      </c>
      <c r="H193" s="25" t="n">
        <v>16.596734</v>
      </c>
      <c r="I193" s="25" t="n">
        <v>15.411253</v>
      </c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  <c r="R193" s="8" t="n"/>
      <c r="S193" s="28">
        <f>IF(M193="","",ROUND(M193*(1-IF($R193="",$U$6,$R193)),2))</f>
        <v/>
      </c>
      <c r="T193" s="28">
        <f>IF(N193="","",ROUND(N193*(1-IF($R193="",$U$6,$R193)),2))</f>
        <v/>
      </c>
      <c r="U193" s="28">
        <f>IF(O193="","",ROUND(O193*(1-IF($R193="",$U$6,$R193)),2))</f>
        <v/>
      </c>
      <c r="V193" s="27">
        <f>IF(S193="","",S193-J193)</f>
        <v/>
      </c>
      <c r="W193" s="27">
        <f>IF(T193="","",T193-K193)</f>
        <v/>
      </c>
      <c r="X193" s="27">
        <f>IF(U193="","",U193-L193)</f>
        <v/>
      </c>
      <c r="Y193" s="30">
        <f>IF(OR(S193="",S193=0),"",V193/S193)</f>
        <v/>
      </c>
      <c r="Z193" s="30">
        <f>IF(OR(T193="",T193=0),"",W193/T193)</f>
        <v/>
      </c>
      <c r="AA193" s="30">
        <f>IF(OR(U193="",U193=0),"",X193/U193)</f>
        <v/>
      </c>
    </row>
    <row r="194">
      <c r="A194" s="19" t="inlineStr">
        <is>
          <t>SWIFB13-C17-SP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13mm x 1/2" male, 17mm collar, inside hose protection spring.</t>
        </is>
      </c>
      <c r="D194" s="22" t="inlineStr">
        <is>
          <t>Swivel hose tail, full bore, 13 mm x 1/2" M, 17 mm collar, w/ anti-kink spring, stainless steel 316</t>
        </is>
      </c>
      <c r="E194" s="31" t="n">
        <v>0.13</v>
      </c>
      <c r="F194" s="24" t="inlineStr">
        <is>
          <t>ESTIMATE - catalogue gives dimensions only (p.68-71)</t>
        </is>
      </c>
      <c r="G194" s="25" t="n">
        <v>24.336224</v>
      </c>
      <c r="H194" s="25" t="n">
        <v>21.294196</v>
      </c>
      <c r="I194" s="25" t="n">
        <v>19.773182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  <c r="R194" s="8" t="n"/>
      <c r="S194" s="28">
        <f>IF(M194="","",ROUND(M194*(1-IF($R194="",$U$6,$R194)),2))</f>
        <v/>
      </c>
      <c r="T194" s="28">
        <f>IF(N194="","",ROUND(N194*(1-IF($R194="",$U$6,$R194)),2))</f>
        <v/>
      </c>
      <c r="U194" s="28">
        <f>IF(O194="","",ROUND(O194*(1-IF($R194="",$U$6,$R194)),2))</f>
        <v/>
      </c>
      <c r="V194" s="27">
        <f>IF(S194="","",S194-J194)</f>
        <v/>
      </c>
      <c r="W194" s="27">
        <f>IF(T194="","",T194-K194)</f>
        <v/>
      </c>
      <c r="X194" s="27">
        <f>IF(U194="","",U194-L194)</f>
        <v/>
      </c>
      <c r="Y194" s="30">
        <f>IF(OR(S194="",S194=0),"",V194/S194)</f>
        <v/>
      </c>
      <c r="Z194" s="30">
        <f>IF(OR(T194="",T194=0),"",W194/T194)</f>
        <v/>
      </c>
      <c r="AA194" s="30">
        <f>IF(OR(U194="",U194=0),"",X194/U194)</f>
        <v/>
      </c>
    </row>
    <row r="195">
      <c r="A195" s="19" t="inlineStr">
        <is>
          <t>SWIFB13-C20</t>
        </is>
      </c>
      <c r="B195" s="20">
        <f>IFERROR(INDEX(Conversion!$C$2:$C$500,MATCH($A195,Conversion!$B$2:$B$500,0)),"NOT ASSIGNED")</f>
        <v/>
      </c>
      <c r="C195" s="21" t="inlineStr">
        <is>
          <t>St.st. full bore swivelling hose tail, 13mm x 1/2" male, 20mm collar</t>
        </is>
      </c>
      <c r="D195" s="22" t="inlineStr">
        <is>
          <t>Swivel hose tail, full bore, 13 mm x 1/2" M, 20 mm collar, stainless steel 316</t>
        </is>
      </c>
      <c r="E195" s="31" t="n">
        <v>0.09</v>
      </c>
      <c r="F195" s="24" t="inlineStr">
        <is>
          <t>ESTIMATE - catalogue gives dimensions only (p.68-71)</t>
        </is>
      </c>
      <c r="G195" s="25" t="n">
        <v>18.967696</v>
      </c>
      <c r="H195" s="25" t="n">
        <v>16.596734</v>
      </c>
      <c r="I195" s="25" t="n">
        <v>15.411253</v>
      </c>
      <c r="J195" s="27">
        <f>IF(G195="","",G195/$C$5*(1+$C$8)+$E195*(1+$C$7)*$C$6)</f>
        <v/>
      </c>
      <c r="K195" s="27">
        <f>IF(H195="","",H195/$C$5*(1+$C$8)+$E195*(1+$C$7)*$C$6)</f>
        <v/>
      </c>
      <c r="L195" s="27">
        <f>IF(I195="","",I195/$C$5*(1+$C$8)+$E195*(1+$C$7)*$C$6)</f>
        <v/>
      </c>
      <c r="M195" s="28">
        <f>IF(J195="","",ROUND(J195*(1+$C$9),2))</f>
        <v/>
      </c>
      <c r="N195" s="28">
        <f>IF(K195="","",ROUND(K195*(1+$C$9),2))</f>
        <v/>
      </c>
      <c r="O195" s="28">
        <f>IF(L195="","",ROUND(L195*(1+$C$9),2))</f>
        <v/>
      </c>
      <c r="P195" s="29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  <c r="R195" s="8" t="n"/>
      <c r="S195" s="28">
        <f>IF(M195="","",ROUND(M195*(1-IF($R195="",$U$6,$R195)),2))</f>
        <v/>
      </c>
      <c r="T195" s="28">
        <f>IF(N195="","",ROUND(N195*(1-IF($R195="",$U$6,$R195)),2))</f>
        <v/>
      </c>
      <c r="U195" s="28">
        <f>IF(O195="","",ROUND(O195*(1-IF($R195="",$U$6,$R195)),2))</f>
        <v/>
      </c>
      <c r="V195" s="27">
        <f>IF(S195="","",S195-J195)</f>
        <v/>
      </c>
      <c r="W195" s="27">
        <f>IF(T195="","",T195-K195)</f>
        <v/>
      </c>
      <c r="X195" s="27">
        <f>IF(U195="","",U195-L195)</f>
        <v/>
      </c>
      <c r="Y195" s="30">
        <f>IF(OR(S195="",S195=0),"",V195/S195)</f>
        <v/>
      </c>
      <c r="Z195" s="30">
        <f>IF(OR(T195="",T195=0),"",W195/T195)</f>
        <v/>
      </c>
      <c r="AA195" s="30">
        <f>IF(OR(U195="",U195=0),"",X195/U195)</f>
        <v/>
      </c>
    </row>
    <row r="196">
      <c r="A196" s="19" t="inlineStr">
        <is>
          <t>SWIFB13-C20-SP</t>
        </is>
      </c>
      <c r="B196" s="20">
        <f>IFERROR(INDEX(Conversion!$C$2:$C$500,MATCH($A196,Conversion!$B$2:$B$500,0)),"NOT ASSIGNED")</f>
        <v/>
      </c>
      <c r="C196" s="21" t="inlineStr">
        <is>
          <t>St.st. full bore swivelling hose tail, 13mm x 1/2" male, 20mm collar, inside hose protection spring</t>
        </is>
      </c>
      <c r="D196" s="22" t="inlineStr">
        <is>
          <t>Swivel hose tail, full bore, 13 mm x 1/2" M, 20 mm collar, w/ anti-kink spring, stainless steel 316</t>
        </is>
      </c>
      <c r="E196" s="31" t="n">
        <v>0.13</v>
      </c>
      <c r="F196" s="24" t="inlineStr">
        <is>
          <t>ESTIMATE - catalogue gives dimensions only (p.68-71)</t>
        </is>
      </c>
      <c r="G196" s="25" t="n">
        <v>24.336224</v>
      </c>
      <c r="H196" s="25" t="n">
        <v>21.294196</v>
      </c>
      <c r="I196" s="25" t="n">
        <v>19.773182</v>
      </c>
      <c r="J196" s="27">
        <f>IF(G196="","",G196/$C$5*(1+$C$8)+$E196*(1+$C$7)*$C$6)</f>
        <v/>
      </c>
      <c r="K196" s="27">
        <f>IF(H196="","",H196/$C$5*(1+$C$8)+$E196*(1+$C$7)*$C$6)</f>
        <v/>
      </c>
      <c r="L196" s="27">
        <f>IF(I196="","",I196/$C$5*(1+$C$8)+$E196*(1+$C$7)*$C$6)</f>
        <v/>
      </c>
      <c r="M196" s="28">
        <f>IF(J196="","",ROUND(J196*(1+$C$9),2))</f>
        <v/>
      </c>
      <c r="N196" s="28">
        <f>IF(K196="","",ROUND(K196*(1+$C$9),2))</f>
        <v/>
      </c>
      <c r="O196" s="28">
        <f>IF(L196="","",ROUND(L196*(1+$C$9),2))</f>
        <v/>
      </c>
      <c r="P196" s="29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  <c r="R196" s="8" t="n"/>
      <c r="S196" s="28">
        <f>IF(M196="","",ROUND(M196*(1-IF($R196="",$U$6,$R196)),2))</f>
        <v/>
      </c>
      <c r="T196" s="28">
        <f>IF(N196="","",ROUND(N196*(1-IF($R196="",$U$6,$R196)),2))</f>
        <v/>
      </c>
      <c r="U196" s="28">
        <f>IF(O196="","",ROUND(O196*(1-IF($R196="",$U$6,$R196)),2))</f>
        <v/>
      </c>
      <c r="V196" s="27">
        <f>IF(S196="","",S196-J196)</f>
        <v/>
      </c>
      <c r="W196" s="27">
        <f>IF(T196="","",T196-K196)</f>
        <v/>
      </c>
      <c r="X196" s="27">
        <f>IF(U196="","",U196-L196)</f>
        <v/>
      </c>
      <c r="Y196" s="30">
        <f>IF(OR(S196="",S196=0),"",V196/S196)</f>
        <v/>
      </c>
      <c r="Z196" s="30">
        <f>IF(OR(T196="",T196=0),"",W196/T196)</f>
        <v/>
      </c>
      <c r="AA196" s="30">
        <f>IF(OR(U196="",U196=0),"",X196/U196)</f>
        <v/>
      </c>
    </row>
    <row r="197">
      <c r="A197" s="19" t="inlineStr">
        <is>
          <t>SWIFB16-C21</t>
        </is>
      </c>
      <c r="B197" s="20">
        <f>IFERROR(INDEX(Conversion!$C$2:$C$500,MATCH($A197,Conversion!$B$2:$B$500,0)),"NOT ASSIGNED")</f>
        <v/>
      </c>
      <c r="C197" s="21" t="inlineStr">
        <is>
          <t>St.st. full bore swivelling hose tail, 16mm x 1/2" male, 21mm collar</t>
        </is>
      </c>
      <c r="D197" s="22" t="inlineStr">
        <is>
          <t>Swivel hose tail, full bore, 16 mm x 1/2" M, 21 mm collar, stainless steel 316</t>
        </is>
      </c>
      <c r="E197" s="31" t="n">
        <v>0.1</v>
      </c>
      <c r="F197" s="24" t="inlineStr">
        <is>
          <t>ESTIMATE - catalogue gives dimensions only (p.68-71)</t>
        </is>
      </c>
      <c r="G197" s="25" t="n">
        <v>18.967696</v>
      </c>
      <c r="H197" s="25" t="n">
        <v>16.596734</v>
      </c>
      <c r="I197" s="25" t="n">
        <v>15.411253</v>
      </c>
      <c r="J197" s="27">
        <f>IF(G197="","",G197/$C$5*(1+$C$8)+$E197*(1+$C$7)*$C$6)</f>
        <v/>
      </c>
      <c r="K197" s="27">
        <f>IF(H197="","",H197/$C$5*(1+$C$8)+$E197*(1+$C$7)*$C$6)</f>
        <v/>
      </c>
      <c r="L197" s="27">
        <f>IF(I197="","",I197/$C$5*(1+$C$8)+$E197*(1+$C$7)*$C$6)</f>
        <v/>
      </c>
      <c r="M197" s="28">
        <f>IF(J197="","",ROUND(J197*(1+$C$9),2))</f>
        <v/>
      </c>
      <c r="N197" s="28">
        <f>IF(K197="","",ROUND(K197*(1+$C$9),2))</f>
        <v/>
      </c>
      <c r="O197" s="28">
        <f>IF(L197="","",ROUND(L197*(1+$C$9),2))</f>
        <v/>
      </c>
      <c r="P197" s="29">
        <f>TRIM(IF($B197="NOT ASSIGNED","No NW part no. ","")&amp;IFERROR(IF(INDEX(Conversion!$J$2:$J$500,MATCH($A197,Conversion!$B$2:$B$500,0))="Needs review","Conversion table: needs review. ",""),"")&amp;IF(LEFT($F197,8)="ESTIMATE","Weight estimated. ","")&amp;"")</f>
        <v/>
      </c>
      <c r="R197" s="8" t="n"/>
      <c r="S197" s="28">
        <f>IF(M197="","",ROUND(M197*(1-IF($R197="",$U$6,$R197)),2))</f>
        <v/>
      </c>
      <c r="T197" s="28">
        <f>IF(N197="","",ROUND(N197*(1-IF($R197="",$U$6,$R197)),2))</f>
        <v/>
      </c>
      <c r="U197" s="28">
        <f>IF(O197="","",ROUND(O197*(1-IF($R197="",$U$6,$R197)),2))</f>
        <v/>
      </c>
      <c r="V197" s="27">
        <f>IF(S197="","",S197-J197)</f>
        <v/>
      </c>
      <c r="W197" s="27">
        <f>IF(T197="","",T197-K197)</f>
        <v/>
      </c>
      <c r="X197" s="27">
        <f>IF(U197="","",U197-L197)</f>
        <v/>
      </c>
      <c r="Y197" s="30">
        <f>IF(OR(S197="",S197=0),"",V197/S197)</f>
        <v/>
      </c>
      <c r="Z197" s="30">
        <f>IF(OR(T197="",T197=0),"",W197/T197)</f>
        <v/>
      </c>
      <c r="AA197" s="30">
        <f>IF(OR(U197="",U197=0),"",X197/U197)</f>
        <v/>
      </c>
    </row>
    <row r="198">
      <c r="A198" s="19" t="inlineStr">
        <is>
          <t>SWIFB16-C21-SP</t>
        </is>
      </c>
      <c r="B198" s="20">
        <f>IFERROR(INDEX(Conversion!$C$2:$C$500,MATCH($A198,Conversion!$B$2:$B$500,0)),"NOT ASSIGNED")</f>
        <v/>
      </c>
      <c r="C198" s="21" t="inlineStr">
        <is>
          <t>St.st. full bore swivelling hose tail, 16mm x 1/2" male, 21mm collar, inside hose protection spring</t>
        </is>
      </c>
      <c r="D198" s="22" t="inlineStr">
        <is>
          <t>Swivel hose tail, full bore, 16 mm x 1/2" M, 21 mm collar, w/ anti-kink spring, stainless steel 316</t>
        </is>
      </c>
      <c r="E198" s="31" t="n">
        <v>0.14</v>
      </c>
      <c r="F198" s="24" t="inlineStr">
        <is>
          <t>ESTIMATE - catalogue gives dimensions only (p.68-71)</t>
        </is>
      </c>
      <c r="G198" s="25" t="n">
        <v>24.336224</v>
      </c>
      <c r="H198" s="25" t="n">
        <v>21.294196</v>
      </c>
      <c r="I198" s="25" t="n">
        <v>19.773182</v>
      </c>
      <c r="J198" s="27">
        <f>IF(G198="","",G198/$C$5*(1+$C$8)+$E198*(1+$C$7)*$C$6)</f>
        <v/>
      </c>
      <c r="K198" s="27">
        <f>IF(H198="","",H198/$C$5*(1+$C$8)+$E198*(1+$C$7)*$C$6)</f>
        <v/>
      </c>
      <c r="L198" s="27">
        <f>IF(I198="","",I198/$C$5*(1+$C$8)+$E198*(1+$C$7)*$C$6)</f>
        <v/>
      </c>
      <c r="M198" s="28">
        <f>IF(J198="","",ROUND(J198*(1+$C$9),2))</f>
        <v/>
      </c>
      <c r="N198" s="28">
        <f>IF(K198="","",ROUND(K198*(1+$C$9),2))</f>
        <v/>
      </c>
      <c r="O198" s="28">
        <f>IF(L198="","",ROUND(L198*(1+$C$9),2))</f>
        <v/>
      </c>
      <c r="P198" s="29">
        <f>TRIM(IF($B198="NOT ASSIGNED","No NW part no. ","")&amp;IFERROR(IF(INDEX(Conversion!$J$2:$J$500,MATCH($A198,Conversion!$B$2:$B$500,0))="Needs review","Conversion table: needs review. ",""),"")&amp;IF(LEFT($F198,8)="ESTIMATE","Weight estimated. ","")&amp;"")</f>
        <v/>
      </c>
      <c r="R198" s="8" t="n"/>
      <c r="S198" s="28">
        <f>IF(M198="","",ROUND(M198*(1-IF($R198="",$U$6,$R198)),2))</f>
        <v/>
      </c>
      <c r="T198" s="28">
        <f>IF(N198="","",ROUND(N198*(1-IF($R198="",$U$6,$R198)),2))</f>
        <v/>
      </c>
      <c r="U198" s="28">
        <f>IF(O198="","",ROUND(O198*(1-IF($R198="",$U$6,$R198)),2))</f>
        <v/>
      </c>
      <c r="V198" s="27">
        <f>IF(S198="","",S198-J198)</f>
        <v/>
      </c>
      <c r="W198" s="27">
        <f>IF(T198="","",T198-K198)</f>
        <v/>
      </c>
      <c r="X198" s="27">
        <f>IF(U198="","",U198-L198)</f>
        <v/>
      </c>
      <c r="Y198" s="30">
        <f>IF(OR(S198="",S198=0),"",V198/S198)</f>
        <v/>
      </c>
      <c r="Z198" s="30">
        <f>IF(OR(T198="",T198=0),"",W198/T198)</f>
        <v/>
      </c>
      <c r="AA198" s="30">
        <f>IF(OR(U198="",U198=0),"",X198/U198)</f>
        <v/>
      </c>
    </row>
    <row r="199">
      <c r="A199" s="19" t="inlineStr">
        <is>
          <t>SWIFB19-C24</t>
        </is>
      </c>
      <c r="B199" s="20">
        <f>IFERROR(INDEX(Conversion!$C$2:$C$500,MATCH($A199,Conversion!$B$2:$B$500,0)),"NOT ASSIGNED")</f>
        <v/>
      </c>
      <c r="C199" s="21" t="inlineStr">
        <is>
          <t>St.st. full bore swivelling hose tail, 19mm x 1/2" male, 24mm collar</t>
        </is>
      </c>
      <c r="D199" s="22" t="inlineStr">
        <is>
          <t>Swivel hose tail, full bore, 19 mm x 1/2" M, 24 mm collar, stainless steel 316</t>
        </is>
      </c>
      <c r="E199" s="31" t="n">
        <v>0.12</v>
      </c>
      <c r="F199" s="24" t="inlineStr">
        <is>
          <t>ESTIMATE - catalogue gives dimensions only (p.68-71)</t>
        </is>
      </c>
      <c r="G199" s="25" t="n">
        <v>21.3004</v>
      </c>
      <c r="H199" s="25" t="n">
        <v>18.63785</v>
      </c>
      <c r="I199" s="25" t="n">
        <v>17.306575</v>
      </c>
      <c r="J199" s="27">
        <f>IF(G199="","",G199/$C$5*(1+$C$8)+$E199*(1+$C$7)*$C$6)</f>
        <v/>
      </c>
      <c r="K199" s="27">
        <f>IF(H199="","",H199/$C$5*(1+$C$8)+$E199*(1+$C$7)*$C$6)</f>
        <v/>
      </c>
      <c r="L199" s="27">
        <f>IF(I199="","",I199/$C$5*(1+$C$8)+$E199*(1+$C$7)*$C$6)</f>
        <v/>
      </c>
      <c r="M199" s="28">
        <f>IF(J199="","",ROUND(J199*(1+$C$9),2))</f>
        <v/>
      </c>
      <c r="N199" s="28">
        <f>IF(K199="","",ROUND(K199*(1+$C$9),2))</f>
        <v/>
      </c>
      <c r="O199" s="28">
        <f>IF(L199="","",ROUND(L199*(1+$C$9),2))</f>
        <v/>
      </c>
      <c r="P199" s="29">
        <f>TRIM(IF($B199="NOT ASSIGNED","No NW part no. ","")&amp;IFERROR(IF(INDEX(Conversion!$J$2:$J$500,MATCH($A199,Conversion!$B$2:$B$500,0))="Needs review","Conversion table: needs review. ",""),"")&amp;IF(LEFT($F199,8)="ESTIMATE","Weight estimated. ","")&amp;"")</f>
        <v/>
      </c>
      <c r="R199" s="8" t="n"/>
      <c r="S199" s="28">
        <f>IF(M199="","",ROUND(M199*(1-IF($R199="",$U$6,$R199)),2))</f>
        <v/>
      </c>
      <c r="T199" s="28">
        <f>IF(N199="","",ROUND(N199*(1-IF($R199="",$U$6,$R199)),2))</f>
        <v/>
      </c>
      <c r="U199" s="28">
        <f>IF(O199="","",ROUND(O199*(1-IF($R199="",$U$6,$R199)),2))</f>
        <v/>
      </c>
      <c r="V199" s="27">
        <f>IF(S199="","",S199-J199)</f>
        <v/>
      </c>
      <c r="W199" s="27">
        <f>IF(T199="","",T199-K199)</f>
        <v/>
      </c>
      <c r="X199" s="27">
        <f>IF(U199="","",U199-L199)</f>
        <v/>
      </c>
      <c r="Y199" s="30">
        <f>IF(OR(S199="",S199=0),"",V199/S199)</f>
        <v/>
      </c>
      <c r="Z199" s="30">
        <f>IF(OR(T199="",T199=0),"",W199/T199)</f>
        <v/>
      </c>
      <c r="AA199" s="30">
        <f>IF(OR(U199="",U199=0),"",X199/U199)</f>
        <v/>
      </c>
    </row>
    <row r="200">
      <c r="A200" s="19" t="inlineStr">
        <is>
          <t>SWIFB19-C24-34</t>
        </is>
      </c>
      <c r="B200" s="20">
        <f>IFERROR(INDEX(Conversion!$C$2:$C$500,MATCH($A200,Conversion!$B$2:$B$500,0)),"NOT ASSIGNED")</f>
        <v/>
      </c>
      <c r="C200" s="21" t="inlineStr">
        <is>
          <t>St.st. full bore swivelling hose tail, 19mm x 3/4" male, 24mm collar</t>
        </is>
      </c>
      <c r="D200" s="22" t="inlineStr">
        <is>
          <t>Swivel hose tail, full bore, 19 mm x 3/4" M, 24 mm collar, stainless steel 316</t>
        </is>
      </c>
      <c r="E200" s="31" t="n">
        <v>0.13</v>
      </c>
      <c r="F200" s="24" t="inlineStr">
        <is>
          <t>ESTIMATE - catalogue gives dimensions only (p.68-71)</t>
        </is>
      </c>
      <c r="G200" s="25" t="n">
        <v>22.317856</v>
      </c>
      <c r="H200" s="25" t="n">
        <v>19.528124</v>
      </c>
      <c r="I200" s="25" t="n">
        <v>18.133258</v>
      </c>
      <c r="J200" s="27">
        <f>IF(G200="","",G200/$C$5*(1+$C$8)+$E200*(1+$C$7)*$C$6)</f>
        <v/>
      </c>
      <c r="K200" s="27">
        <f>IF(H200="","",H200/$C$5*(1+$C$8)+$E200*(1+$C$7)*$C$6)</f>
        <v/>
      </c>
      <c r="L200" s="27">
        <f>IF(I200="","",I200/$C$5*(1+$C$8)+$E200*(1+$C$7)*$C$6)</f>
        <v/>
      </c>
      <c r="M200" s="28">
        <f>IF(J200="","",ROUND(J200*(1+$C$9),2))</f>
        <v/>
      </c>
      <c r="N200" s="28">
        <f>IF(K200="","",ROUND(K200*(1+$C$9),2))</f>
        <v/>
      </c>
      <c r="O200" s="28">
        <f>IF(L200="","",ROUND(L200*(1+$C$9),2))</f>
        <v/>
      </c>
      <c r="P200" s="29">
        <f>TRIM(IF($B200="NOT ASSIGNED","No NW part no. ","")&amp;IFERROR(IF(INDEX(Conversion!$J$2:$J$500,MATCH($A200,Conversion!$B$2:$B$500,0))="Needs review","Conversion table: needs review. ",""),"")&amp;IF(LEFT($F200,8)="ESTIMATE","Weight estimated. ","")&amp;"")</f>
        <v/>
      </c>
      <c r="R200" s="8" t="n"/>
      <c r="S200" s="28">
        <f>IF(M200="","",ROUND(M200*(1-IF($R200="",$U$6,$R200)),2))</f>
        <v/>
      </c>
      <c r="T200" s="28">
        <f>IF(N200="","",ROUND(N200*(1-IF($R200="",$U$6,$R200)),2))</f>
        <v/>
      </c>
      <c r="U200" s="28">
        <f>IF(O200="","",ROUND(O200*(1-IF($R200="",$U$6,$R200)),2))</f>
        <v/>
      </c>
      <c r="V200" s="27">
        <f>IF(S200="","",S200-J200)</f>
        <v/>
      </c>
      <c r="W200" s="27">
        <f>IF(T200="","",T200-K200)</f>
        <v/>
      </c>
      <c r="X200" s="27">
        <f>IF(U200="","",U200-L200)</f>
        <v/>
      </c>
      <c r="Y200" s="30">
        <f>IF(OR(S200="",S200=0),"",V200/S200)</f>
        <v/>
      </c>
      <c r="Z200" s="30">
        <f>IF(OR(T200="",T200=0),"",W200/T200)</f>
        <v/>
      </c>
      <c r="AA200" s="30">
        <f>IF(OR(U200="",U200=0),"",X200/U200)</f>
        <v/>
      </c>
    </row>
    <row r="201">
      <c r="A201" s="19" t="inlineStr">
        <is>
          <t>SWIFB19-C24-34S</t>
        </is>
      </c>
      <c r="B201" s="20">
        <f>IFERROR(INDEX(Conversion!$C$2:$C$500,MATCH($A201,Conversion!$B$2:$B$500,0)),"NOT ASSIGNED")</f>
        <v/>
      </c>
      <c r="C201" s="21" t="inlineStr">
        <is>
          <t>St.st. full bore swivelling hose tail, 19mm x 3/4" male, 24mm collar, inside hose protection spring</t>
        </is>
      </c>
      <c r="D201" s="22" t="inlineStr">
        <is>
          <t>Swivel hose tail, full bore, 19 mm x 3/4" M, 24 mm collar, w/ anti-kink spring, stainless steel 316</t>
        </is>
      </c>
      <c r="E201" s="31" t="n">
        <v>0.17</v>
      </c>
      <c r="F201" s="24" t="inlineStr">
        <is>
          <t>ESTIMATE - catalogue gives dimensions only (p.68-71)</t>
        </is>
      </c>
      <c r="G201" s="25" t="n">
        <v>33.26</v>
      </c>
      <c r="H201" s="26" t="n"/>
      <c r="I201" s="26" t="n"/>
      <c r="J201" s="27">
        <f>IF(G201="","",G201/$C$5*(1+$C$8)+$E201*(1+$C$7)*$C$6)</f>
        <v/>
      </c>
      <c r="K201" s="27">
        <f>IF(H201="","",H201/$C$5*(1+$C$8)+$E201*(1+$C$7)*$C$6)</f>
        <v/>
      </c>
      <c r="L201" s="27">
        <f>IF(I201="","",I201/$C$5*(1+$C$8)+$E201*(1+$C$7)*$C$6)</f>
        <v/>
      </c>
      <c r="M201" s="28">
        <f>IF(J201="","",ROUND(J201*(1+$C$9),2))</f>
        <v/>
      </c>
      <c r="N201" s="28">
        <f>IF(K201="","",ROUND(K201*(1+$C$9),2))</f>
        <v/>
      </c>
      <c r="O201" s="28">
        <f>IF(L201="","",ROUND(L201*(1+$C$9),2))</f>
        <v/>
      </c>
      <c r="P201" s="29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  <c r="R201" s="8" t="n"/>
      <c r="S201" s="28">
        <f>IF(M201="","",ROUND(M201*(1-IF($R201="",$U$6,$R201)),2))</f>
        <v/>
      </c>
      <c r="T201" s="28">
        <f>IF(N201="","",ROUND(N201*(1-IF($R201="",$U$6,$R201)),2))</f>
        <v/>
      </c>
      <c r="U201" s="28">
        <f>IF(O201="","",ROUND(O201*(1-IF($R201="",$U$6,$R201)),2))</f>
        <v/>
      </c>
      <c r="V201" s="27">
        <f>IF(S201="","",S201-J201)</f>
        <v/>
      </c>
      <c r="W201" s="27">
        <f>IF(T201="","",T201-K201)</f>
        <v/>
      </c>
      <c r="X201" s="27">
        <f>IF(U201="","",U201-L201)</f>
        <v/>
      </c>
      <c r="Y201" s="30">
        <f>IF(OR(S201="",S201=0),"",V201/S201)</f>
        <v/>
      </c>
      <c r="Z201" s="30">
        <f>IF(OR(T201="",T201=0),"",W201/T201)</f>
        <v/>
      </c>
      <c r="AA201" s="30">
        <f>IF(OR(U201="",U201=0),"",X201/U201)</f>
        <v/>
      </c>
    </row>
    <row r="202">
      <c r="A202" s="19" t="inlineStr">
        <is>
          <t>SWIFB19-C24-SP</t>
        </is>
      </c>
      <c r="B202" s="20">
        <f>IFERROR(INDEX(Conversion!$C$2:$C$500,MATCH($A202,Conversion!$B$2:$B$500,0)),"NOT ASSIGNED")</f>
        <v/>
      </c>
      <c r="C202" s="21" t="inlineStr">
        <is>
          <t>St.st. full bore swivelling hose tail, 19mm x 1/2" male, 24mm collar, inside hose protection spring</t>
        </is>
      </c>
      <c r="D202" s="22" t="inlineStr">
        <is>
          <t>Swivel hose tail, full bore, 19 mm x 1/2" M, 24 mm collar, w/ anti-kink spring, stainless steel 316</t>
        </is>
      </c>
      <c r="E202" s="31" t="n">
        <v>0.16</v>
      </c>
      <c r="F202" s="24" t="inlineStr">
        <is>
          <t>ESTIMATE - catalogue gives dimensions only (p.68-71)</t>
        </is>
      </c>
      <c r="G202" s="25" t="n">
        <v>25.35368</v>
      </c>
      <c r="H202" s="25" t="n">
        <v>22.18447</v>
      </c>
      <c r="I202" s="25" t="n">
        <v>20.599865</v>
      </c>
      <c r="J202" s="27">
        <f>IF(G202="","",G202/$C$5*(1+$C$8)+$E202*(1+$C$7)*$C$6)</f>
        <v/>
      </c>
      <c r="K202" s="27">
        <f>IF(H202="","",H202/$C$5*(1+$C$8)+$E202*(1+$C$7)*$C$6)</f>
        <v/>
      </c>
      <c r="L202" s="27">
        <f>IF(I202="","",I202/$C$5*(1+$C$8)+$E202*(1+$C$7)*$C$6)</f>
        <v/>
      </c>
      <c r="M202" s="28">
        <f>IF(J202="","",ROUND(J202*(1+$C$9),2))</f>
        <v/>
      </c>
      <c r="N202" s="28">
        <f>IF(K202="","",ROUND(K202*(1+$C$9),2))</f>
        <v/>
      </c>
      <c r="O202" s="28">
        <f>IF(L202="","",ROUND(L202*(1+$C$9),2))</f>
        <v/>
      </c>
      <c r="P202" s="29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  <c r="R202" s="8" t="n"/>
      <c r="S202" s="28">
        <f>IF(M202="","",ROUND(M202*(1-IF($R202="",$U$6,$R202)),2))</f>
        <v/>
      </c>
      <c r="T202" s="28">
        <f>IF(N202="","",ROUND(N202*(1-IF($R202="",$U$6,$R202)),2))</f>
        <v/>
      </c>
      <c r="U202" s="28">
        <f>IF(O202="","",ROUND(O202*(1-IF($R202="",$U$6,$R202)),2))</f>
        <v/>
      </c>
      <c r="V202" s="27">
        <f>IF(S202="","",S202-J202)</f>
        <v/>
      </c>
      <c r="W202" s="27">
        <f>IF(T202="","",T202-K202)</f>
        <v/>
      </c>
      <c r="X202" s="27">
        <f>IF(U202="","",U202-L202)</f>
        <v/>
      </c>
      <c r="Y202" s="30">
        <f>IF(OR(S202="",S202=0),"",V202/S202)</f>
        <v/>
      </c>
      <c r="Z202" s="30">
        <f>IF(OR(T202="",T202=0),"",W202/T202)</f>
        <v/>
      </c>
      <c r="AA202" s="30">
        <f>IF(OR(U202="",U202=0),"",X202/U202)</f>
        <v/>
      </c>
    </row>
    <row r="203"/>
    <row r="204">
      <c r="A204" s="14" t="inlineStr">
        <is>
          <t>Hose tails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</row>
    <row r="205"/>
    <row r="206">
      <c r="A206" s="16" t="inlineStr">
        <is>
          <t>Qty break</t>
        </is>
      </c>
      <c r="B206" s="17" t="n"/>
      <c r="C206" s="17" t="n"/>
      <c r="D206" s="17" t="n"/>
      <c r="E206" s="17" t="n"/>
      <c r="F206" s="17" t="n"/>
      <c r="G206" s="18" t="inlineStr">
        <is>
          <t>&lt; 10 pcs</t>
        </is>
      </c>
      <c r="H206" s="18" t="inlineStr">
        <is>
          <t>≥ 10 pcs</t>
        </is>
      </c>
      <c r="I206" s="18" t="inlineStr">
        <is>
          <t>≥ 50 pcs</t>
        </is>
      </c>
      <c r="J206" s="18" t="inlineStr">
        <is>
          <t>&lt; 10 pcs</t>
        </is>
      </c>
      <c r="K206" s="18" t="inlineStr">
        <is>
          <t>≥ 10 pcs</t>
        </is>
      </c>
      <c r="L206" s="18" t="inlineStr">
        <is>
          <t>≥ 50 pcs</t>
        </is>
      </c>
      <c r="M206" s="18" t="inlineStr">
        <is>
          <t>&lt; 10 pcs</t>
        </is>
      </c>
      <c r="N206" s="18" t="inlineStr">
        <is>
          <t>≥ 10 pcs</t>
        </is>
      </c>
      <c r="O206" s="18" t="inlineStr">
        <is>
          <t>≥ 50 pcs</t>
        </is>
      </c>
      <c r="P206" s="17" t="n"/>
      <c r="R206" s="17" t="n"/>
      <c r="S206" s="18" t="inlineStr">
        <is>
          <t>&lt; 10 pcs</t>
        </is>
      </c>
      <c r="T206" s="18" t="inlineStr">
        <is>
          <t>≥ 10 pcs</t>
        </is>
      </c>
      <c r="U206" s="18" t="inlineStr">
        <is>
          <t>≥ 50 pcs</t>
        </is>
      </c>
      <c r="V206" s="18" t="inlineStr">
        <is>
          <t>&lt; 10 pcs</t>
        </is>
      </c>
      <c r="W206" s="18" t="inlineStr">
        <is>
          <t>≥ 10 pcs</t>
        </is>
      </c>
      <c r="X206" s="18" t="inlineStr">
        <is>
          <t>≥ 50 pcs</t>
        </is>
      </c>
      <c r="Y206" s="18" t="inlineStr">
        <is>
          <t>&lt; 10 pcs</t>
        </is>
      </c>
      <c r="Z206" s="18" t="inlineStr">
        <is>
          <t>≥ 10 pcs</t>
        </is>
      </c>
      <c r="AA206" s="18" t="inlineStr">
        <is>
          <t>≥ 50 pcs</t>
        </is>
      </c>
    </row>
    <row r="207">
      <c r="A207" s="32" t="inlineStr">
        <is>
          <t>Brass</t>
        </is>
      </c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  <c r="O207" s="33" t="n"/>
      <c r="P207" s="33" t="n"/>
      <c r="R207" s="33" t="n"/>
      <c r="S207" s="33" t="n"/>
      <c r="T207" s="33" t="n"/>
      <c r="U207" s="33" t="n"/>
      <c r="V207" s="33" t="n"/>
      <c r="W207" s="33" t="n"/>
      <c r="X207" s="33" t="n"/>
      <c r="Y207" s="33" t="n"/>
      <c r="Z207" s="33" t="n"/>
      <c r="AA207" s="33" t="n"/>
    </row>
    <row r="208"/>
    <row r="209">
      <c r="A209" s="19" t="inlineStr">
        <is>
          <t>MESS013</t>
        </is>
      </c>
      <c r="B209" s="20">
        <f>IFERROR(INDEX(Conversion!$C$2:$C$500,MATCH($A209,Conversion!$B$2:$B$500,0)),"NOT ASSIGNED")</f>
        <v/>
      </c>
      <c r="C209" s="21" t="inlineStr">
        <is>
          <t>Brass hose tail, 1/2" male x 13mm</t>
        </is>
      </c>
      <c r="D209" s="22" t="inlineStr">
        <is>
          <t>Hose tail, 13 mm x 1/2" M, brass</t>
        </is>
      </c>
      <c r="E209" s="31" t="n">
        <v>0.03</v>
      </c>
      <c r="F209" s="24" t="inlineStr">
        <is>
          <t>ESTIMATE - catalogue gives dimensions only (p.68-71)</t>
        </is>
      </c>
      <c r="G209" s="25" t="n">
        <v>2.076272</v>
      </c>
      <c r="H209" s="25" t="n">
        <v>1.816738</v>
      </c>
      <c r="I209" s="25" t="n">
        <v>1.686971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  <c r="R209" s="8" t="n"/>
      <c r="S209" s="28">
        <f>IF(M209="","",ROUND(M209*(1-IF($R209="",$U$6,$R209)),2))</f>
        <v/>
      </c>
      <c r="T209" s="28">
        <f>IF(N209="","",ROUND(N209*(1-IF($R209="",$U$6,$R209)),2))</f>
        <v/>
      </c>
      <c r="U209" s="28">
        <f>IF(O209="","",ROUND(O209*(1-IF($R209="",$U$6,$R209)),2))</f>
        <v/>
      </c>
      <c r="V209" s="27">
        <f>IF(S209="","",S209-J209)</f>
        <v/>
      </c>
      <c r="W209" s="27">
        <f>IF(T209="","",T209-K209)</f>
        <v/>
      </c>
      <c r="X209" s="27">
        <f>IF(U209="","",U209-L209)</f>
        <v/>
      </c>
      <c r="Y209" s="30">
        <f>IF(OR(S209="",S209=0),"",V209/S209)</f>
        <v/>
      </c>
      <c r="Z209" s="30">
        <f>IF(OR(T209="",T209=0),"",W209/T209)</f>
        <v/>
      </c>
      <c r="AA209" s="30">
        <f>IF(OR(U209="",U209=0),"",X209/U209)</f>
        <v/>
      </c>
    </row>
    <row r="210">
      <c r="A210" s="19" t="inlineStr">
        <is>
          <t>MESS019</t>
        </is>
      </c>
      <c r="B210" s="20">
        <f>IFERROR(INDEX(Conversion!$C$2:$C$500,MATCH($A210,Conversion!$B$2:$B$500,0)),"NOT ASSIGNED")</f>
        <v/>
      </c>
      <c r="C210" s="21" t="inlineStr">
        <is>
          <t>Brass hose tail, 1/2" male x 19mm</t>
        </is>
      </c>
      <c r="D210" s="22" t="inlineStr">
        <is>
          <t>Hose tail, 19 mm x 1/2" M, brass</t>
        </is>
      </c>
      <c r="E210" s="31" t="n">
        <v>0.04</v>
      </c>
      <c r="F210" s="24" t="inlineStr">
        <is>
          <t>ESTIMATE - catalogue gives dimensions only (p.68-71)</t>
        </is>
      </c>
      <c r="G210" s="25" t="n">
        <v>2.142448</v>
      </c>
      <c r="H210" s="25" t="n">
        <v>1.874642</v>
      </c>
      <c r="I210" s="25" t="n">
        <v>1.740739</v>
      </c>
      <c r="J210" s="27">
        <f>IF(G210="","",G210/$C$5*(1+$C$8)+$E210*(1+$C$7)*$C$6)</f>
        <v/>
      </c>
      <c r="K210" s="27">
        <f>IF(H210="","",H210/$C$5*(1+$C$8)+$E210*(1+$C$7)*$C$6)</f>
        <v/>
      </c>
      <c r="L210" s="27">
        <f>IF(I210="","",I210/$C$5*(1+$C$8)+$E210*(1+$C$7)*$C$6)</f>
        <v/>
      </c>
      <c r="M210" s="28">
        <f>IF(J210="","",ROUND(J210*(1+$C$9),2))</f>
        <v/>
      </c>
      <c r="N210" s="28">
        <f>IF(K210="","",ROUND(K210*(1+$C$9),2))</f>
        <v/>
      </c>
      <c r="O210" s="28">
        <f>IF(L210="","",ROUND(L210*(1+$C$9),2))</f>
        <v/>
      </c>
      <c r="P210" s="29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  <c r="R210" s="8" t="n"/>
      <c r="S210" s="28">
        <f>IF(M210="","",ROUND(M210*(1-IF($R210="",$U$6,$R210)),2))</f>
        <v/>
      </c>
      <c r="T210" s="28">
        <f>IF(N210="","",ROUND(N210*(1-IF($R210="",$U$6,$R210)),2))</f>
        <v/>
      </c>
      <c r="U210" s="28">
        <f>IF(O210="","",ROUND(O210*(1-IF($R210="",$U$6,$R210)),2))</f>
        <v/>
      </c>
      <c r="V210" s="27">
        <f>IF(S210="","",S210-J210)</f>
        <v/>
      </c>
      <c r="W210" s="27">
        <f>IF(T210="","",T210-K210)</f>
        <v/>
      </c>
      <c r="X210" s="27">
        <f>IF(U210="","",U210-L210)</f>
        <v/>
      </c>
      <c r="Y210" s="30">
        <f>IF(OR(S210="",S210=0),"",V210/S210)</f>
        <v/>
      </c>
      <c r="Z210" s="30">
        <f>IF(OR(T210="",T210=0),"",W210/T210)</f>
        <v/>
      </c>
      <c r="AA210" s="30">
        <f>IF(OR(U210="",U210=0),"",X210/U210)</f>
        <v/>
      </c>
    </row>
    <row r="211">
      <c r="A211" s="19" t="inlineStr">
        <is>
          <t>MESS025</t>
        </is>
      </c>
      <c r="B211" s="20">
        <f>IFERROR(INDEX(Conversion!$C$2:$C$500,MATCH($A211,Conversion!$B$2:$B$500,0)),"NOT ASSIGNED")</f>
        <v/>
      </c>
      <c r="C211" s="21" t="inlineStr">
        <is>
          <t>Brass hose tail, 1/2" male x 25mm</t>
        </is>
      </c>
      <c r="D211" s="22" t="inlineStr">
        <is>
          <t>Hose tail, 25 mm x 1/2" M, brass</t>
        </is>
      </c>
      <c r="E211" s="31" t="n">
        <v>0.06</v>
      </c>
      <c r="F211" s="24" t="inlineStr">
        <is>
          <t>ESTIMATE - catalogue gives dimensions only (p.68-71)</t>
        </is>
      </c>
      <c r="G211" s="25" t="n">
        <v>7.750864</v>
      </c>
      <c r="H211" s="25" t="n">
        <v>6.782006</v>
      </c>
      <c r="I211" s="25" t="n">
        <v>6.297577</v>
      </c>
      <c r="J211" s="27">
        <f>IF(G211="","",G211/$C$5*(1+$C$8)+$E211*(1+$C$7)*$C$6)</f>
        <v/>
      </c>
      <c r="K211" s="27">
        <f>IF(H211="","",H211/$C$5*(1+$C$8)+$E211*(1+$C$7)*$C$6)</f>
        <v/>
      </c>
      <c r="L211" s="27">
        <f>IF(I211="","",I211/$C$5*(1+$C$8)+$E211*(1+$C$7)*$C$6)</f>
        <v/>
      </c>
      <c r="M211" s="28">
        <f>IF(J211="","",ROUND(J211*(1+$C$9),2))</f>
        <v/>
      </c>
      <c r="N211" s="28">
        <f>IF(K211="","",ROUND(K211*(1+$C$9),2))</f>
        <v/>
      </c>
      <c r="O211" s="28">
        <f>IF(L211="","",ROUND(L211*(1+$C$9),2))</f>
        <v/>
      </c>
      <c r="P211" s="29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  <c r="R211" s="8" t="n"/>
      <c r="S211" s="28">
        <f>IF(M211="","",ROUND(M211*(1-IF($R211="",$U$6,$R211)),2))</f>
        <v/>
      </c>
      <c r="T211" s="28">
        <f>IF(N211="","",ROUND(N211*(1-IF($R211="",$U$6,$R211)),2))</f>
        <v/>
      </c>
      <c r="U211" s="28">
        <f>IF(O211="","",ROUND(O211*(1-IF($R211="",$U$6,$R211)),2))</f>
        <v/>
      </c>
      <c r="V211" s="27">
        <f>IF(S211="","",S211-J211)</f>
        <v/>
      </c>
      <c r="W211" s="27">
        <f>IF(T211="","",T211-K211)</f>
        <v/>
      </c>
      <c r="X211" s="27">
        <f>IF(U211="","",U211-L211)</f>
        <v/>
      </c>
      <c r="Y211" s="30">
        <f>IF(OR(S211="",S211=0),"",V211/S211)</f>
        <v/>
      </c>
      <c r="Z211" s="30">
        <f>IF(OR(T211="",T211=0),"",W211/T211)</f>
        <v/>
      </c>
      <c r="AA211" s="30">
        <f>IF(OR(U211="",U211=0),"",X211/U211)</f>
        <v/>
      </c>
    </row>
    <row r="212"/>
    <row r="213">
      <c r="A213" s="32" t="inlineStr">
        <is>
          <t>Chrome plated brass</t>
        </is>
      </c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  <c r="O213" s="33" t="n"/>
      <c r="P213" s="33" t="n"/>
      <c r="R213" s="33" t="n"/>
      <c r="S213" s="33" t="n"/>
      <c r="T213" s="33" t="n"/>
      <c r="U213" s="33" t="n"/>
      <c r="V213" s="33" t="n"/>
      <c r="W213" s="33" t="n"/>
      <c r="X213" s="33" t="n"/>
      <c r="Y213" s="33" t="n"/>
      <c r="Z213" s="33" t="n"/>
      <c r="AA213" s="33" t="n"/>
    </row>
    <row r="214"/>
    <row r="215">
      <c r="A215" s="19" t="inlineStr">
        <is>
          <t>MESC013</t>
        </is>
      </c>
      <c r="B215" s="20">
        <f>IFERROR(INDEX(Conversion!$C$2:$C$500,MATCH($A215,Conversion!$B$2:$B$500,0)),"NOT ASSIGNED")</f>
        <v/>
      </c>
      <c r="C215" s="21" t="inlineStr">
        <is>
          <t>Chrome plated brass hose tail, 1/2" BSP male with O-ring x 13mm</t>
        </is>
      </c>
      <c r="D215" s="22" t="inlineStr">
        <is>
          <t>Hose tail, 13 mm x 1/2" M, w/ O-ring, chrome-plated brass</t>
        </is>
      </c>
      <c r="E215" s="31" t="n">
        <v>0.035</v>
      </c>
      <c r="F215" s="24" t="inlineStr">
        <is>
          <t>ESTIMATE - catalogue gives dimensions only (p.68-71)</t>
        </is>
      </c>
      <c r="G215" s="25" t="n">
        <v>3.747216</v>
      </c>
      <c r="H215" s="25" t="n">
        <v>3.278814</v>
      </c>
      <c r="I215" s="25" t="n">
        <v>3.044613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  <c r="R215" s="8" t="n"/>
      <c r="S215" s="28">
        <f>IF(M215="","",ROUND(M215*(1-IF($R215="",$U$6,$R215)),2))</f>
        <v/>
      </c>
      <c r="T215" s="28">
        <f>IF(N215="","",ROUND(N215*(1-IF($R215="",$U$6,$R215)),2))</f>
        <v/>
      </c>
      <c r="U215" s="28">
        <f>IF(O215="","",ROUND(O215*(1-IF($R215="",$U$6,$R215)),2))</f>
        <v/>
      </c>
      <c r="V215" s="27">
        <f>IF(S215="","",S215-J215)</f>
        <v/>
      </c>
      <c r="W215" s="27">
        <f>IF(T215="","",T215-K215)</f>
        <v/>
      </c>
      <c r="X215" s="27">
        <f>IF(U215="","",U215-L215)</f>
        <v/>
      </c>
      <c r="Y215" s="30">
        <f>IF(OR(S215="",S215=0),"",V215/S215)</f>
        <v/>
      </c>
      <c r="Z215" s="30">
        <f>IF(OR(T215="",T215=0),"",W215/T215)</f>
        <v/>
      </c>
      <c r="AA215" s="30">
        <f>IF(OR(U215="",U215=0),"",X215/U215)</f>
        <v/>
      </c>
    </row>
    <row r="216">
      <c r="A216" s="19" t="inlineStr">
        <is>
          <t>MESC016</t>
        </is>
      </c>
      <c r="B216" s="20">
        <f>IFERROR(INDEX(Conversion!$C$2:$C$500,MATCH($A216,Conversion!$B$2:$B$500,0)),"NOT ASSIGNED")</f>
        <v/>
      </c>
      <c r="C216" s="21" t="inlineStr">
        <is>
          <t>Chrome plated brass hose tail, 1/2" BSP male with O-ring x 16mm</t>
        </is>
      </c>
      <c r="D216" s="22" t="inlineStr">
        <is>
          <t>Hose tail, 16 mm x 1/2" M, w/ O-ring, chrome-plated brass</t>
        </is>
      </c>
      <c r="E216" s="31" t="n">
        <v>0.04</v>
      </c>
      <c r="F216" s="24" t="inlineStr">
        <is>
          <t>ESTIMATE - catalogue gives dimensions only (p.68-71)</t>
        </is>
      </c>
      <c r="G216" s="25" t="n">
        <v>4.152544</v>
      </c>
      <c r="H216" s="25" t="n">
        <v>3.633476</v>
      </c>
      <c r="I216" s="25" t="n">
        <v>3.373942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  <c r="R216" s="8" t="n"/>
      <c r="S216" s="28">
        <f>IF(M216="","",ROUND(M216*(1-IF($R216="",$U$6,$R216)),2))</f>
        <v/>
      </c>
      <c r="T216" s="28">
        <f>IF(N216="","",ROUND(N216*(1-IF($R216="",$U$6,$R216)),2))</f>
        <v/>
      </c>
      <c r="U216" s="28">
        <f>IF(O216="","",ROUND(O216*(1-IF($R216="",$U$6,$R216)),2))</f>
        <v/>
      </c>
      <c r="V216" s="27">
        <f>IF(S216="","",S216-J216)</f>
        <v/>
      </c>
      <c r="W216" s="27">
        <f>IF(T216="","",T216-K216)</f>
        <v/>
      </c>
      <c r="X216" s="27">
        <f>IF(U216="","",U216-L216)</f>
        <v/>
      </c>
      <c r="Y216" s="30">
        <f>IF(OR(S216="",S216=0),"",V216/S216)</f>
        <v/>
      </c>
      <c r="Z216" s="30">
        <f>IF(OR(T216="",T216=0),"",W216/T216)</f>
        <v/>
      </c>
      <c r="AA216" s="30">
        <f>IF(OR(U216="",U216=0),"",X216/U216)</f>
        <v/>
      </c>
    </row>
    <row r="217">
      <c r="A217" s="19" t="inlineStr">
        <is>
          <t>MESC019</t>
        </is>
      </c>
      <c r="B217" s="20">
        <f>IFERROR(INDEX(Conversion!$C$2:$C$500,MATCH($A217,Conversion!$B$2:$B$500,0)),"NOT ASSIGNED")</f>
        <v/>
      </c>
      <c r="C217" s="21" t="inlineStr">
        <is>
          <t>Chrome plated brass hose tail, 1/2" BSP male with O-ring x 19mm</t>
        </is>
      </c>
      <c r="D217" s="22" t="inlineStr">
        <is>
          <t>Hose tail, 19 mm x 1/2" M, w/ O-ring, chrome-plated brass</t>
        </is>
      </c>
      <c r="E217" s="31" t="n">
        <v>0.045</v>
      </c>
      <c r="F217" s="24" t="inlineStr">
        <is>
          <t>ESTIMATE - catalogue gives dimensions only (p.68-71)</t>
        </is>
      </c>
      <c r="G217" s="25" t="n">
        <v>4.309712</v>
      </c>
      <c r="H217" s="25" t="n">
        <v>3.770998</v>
      </c>
      <c r="I217" s="25" t="n">
        <v>3.501641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  <c r="R217" s="8" t="n"/>
      <c r="S217" s="28">
        <f>IF(M217="","",ROUND(M217*(1-IF($R217="",$U$6,$R217)),2))</f>
        <v/>
      </c>
      <c r="T217" s="28">
        <f>IF(N217="","",ROUND(N217*(1-IF($R217="",$U$6,$R217)),2))</f>
        <v/>
      </c>
      <c r="U217" s="28">
        <f>IF(O217="","",ROUND(O217*(1-IF($R217="",$U$6,$R217)),2))</f>
        <v/>
      </c>
      <c r="V217" s="27">
        <f>IF(S217="","",S217-J217)</f>
        <v/>
      </c>
      <c r="W217" s="27">
        <f>IF(T217="","",T217-K217)</f>
        <v/>
      </c>
      <c r="X217" s="27">
        <f>IF(U217="","",U217-L217)</f>
        <v/>
      </c>
      <c r="Y217" s="30">
        <f>IF(OR(S217="",S217=0),"",V217/S217)</f>
        <v/>
      </c>
      <c r="Z217" s="30">
        <f>IF(OR(T217="",T217=0),"",W217/T217)</f>
        <v/>
      </c>
      <c r="AA217" s="30">
        <f>IF(OR(U217="",U217=0),"",X217/U217)</f>
        <v/>
      </c>
    </row>
    <row r="218"/>
    <row r="219">
      <c r="A219" s="32" t="inlineStr">
        <is>
          <t>Stainless steel</t>
        </is>
      </c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  <c r="O219" s="33" t="n"/>
      <c r="P219" s="33" t="n"/>
      <c r="R219" s="33" t="n"/>
      <c r="S219" s="33" t="n"/>
      <c r="T219" s="33" t="n"/>
      <c r="U219" s="33" t="n"/>
      <c r="V219" s="33" t="n"/>
      <c r="W219" s="33" t="n"/>
      <c r="X219" s="33" t="n"/>
      <c r="Y219" s="33" t="n"/>
      <c r="Z219" s="33" t="n"/>
      <c r="AA219" s="33" t="n"/>
    </row>
    <row r="220"/>
    <row r="221">
      <c r="A221" s="19" t="inlineStr">
        <is>
          <t>RVST013-C17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13mm, 17mm collar</t>
        </is>
      </c>
      <c r="D221" s="22" t="inlineStr">
        <is>
          <t>Hose tail, 13 mm x 1/2" M, 17 mm collar, stainless steel 316</t>
        </is>
      </c>
      <c r="E221" s="31" t="n">
        <v>0.04</v>
      </c>
      <c r="F221" s="24" t="inlineStr">
        <is>
          <t>ESTIMATE - catalogue gives dimensions only (p.68-71)</t>
        </is>
      </c>
      <c r="G221" s="25" t="n">
        <v>7.69296</v>
      </c>
      <c r="H221" s="25" t="n">
        <v>6.73134</v>
      </c>
      <c r="I221" s="25" t="n">
        <v>6.25053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  <c r="R221" s="8" t="n"/>
      <c r="S221" s="28">
        <f>IF(M221="","",ROUND(M221*(1-IF($R221="",$U$6,$R221)),2))</f>
        <v/>
      </c>
      <c r="T221" s="28">
        <f>IF(N221="","",ROUND(N221*(1-IF($R221="",$U$6,$R221)),2))</f>
        <v/>
      </c>
      <c r="U221" s="28">
        <f>IF(O221="","",ROUND(O221*(1-IF($R221="",$U$6,$R221)),2))</f>
        <v/>
      </c>
      <c r="V221" s="27">
        <f>IF(S221="","",S221-J221)</f>
        <v/>
      </c>
      <c r="W221" s="27">
        <f>IF(T221="","",T221-K221)</f>
        <v/>
      </c>
      <c r="X221" s="27">
        <f>IF(U221="","",U221-L221)</f>
        <v/>
      </c>
      <c r="Y221" s="30">
        <f>IF(OR(S221="",S221=0),"",V221/S221)</f>
        <v/>
      </c>
      <c r="Z221" s="30">
        <f>IF(OR(T221="",T221=0),"",W221/T221)</f>
        <v/>
      </c>
      <c r="AA221" s="30">
        <f>IF(OR(U221="",U221=0),"",X221/U221)</f>
        <v/>
      </c>
    </row>
    <row r="222">
      <c r="A222" s="19" t="inlineStr">
        <is>
          <t>RVST013-C17-SP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13mm, 17mm collar, inside hose protection spring</t>
        </is>
      </c>
      <c r="D222" s="22" t="inlineStr">
        <is>
          <t>Hose tail, 13 mm x 1/2" M, 17 mm collar, w/ anti-kink spring, stainless steel 316</t>
        </is>
      </c>
      <c r="E222" s="31" t="n">
        <v>0.08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  <c r="R222" s="8" t="n"/>
      <c r="S222" s="28">
        <f>IF(M222="","",ROUND(M222*(1-IF($R222="",$U$6,$R222)),2))</f>
        <v/>
      </c>
      <c r="T222" s="28">
        <f>IF(N222="","",ROUND(N222*(1-IF($R222="",$U$6,$R222)),2))</f>
        <v/>
      </c>
      <c r="U222" s="28">
        <f>IF(O222="","",ROUND(O222*(1-IF($R222="",$U$6,$R222)),2))</f>
        <v/>
      </c>
      <c r="V222" s="27">
        <f>IF(S222="","",S222-J222)</f>
        <v/>
      </c>
      <c r="W222" s="27">
        <f>IF(T222="","",T222-K222)</f>
        <v/>
      </c>
      <c r="X222" s="27">
        <f>IF(U222="","",U222-L222)</f>
        <v/>
      </c>
      <c r="Y222" s="30">
        <f>IF(OR(S222="",S222=0),"",V222/S222)</f>
        <v/>
      </c>
      <c r="Z222" s="30">
        <f>IF(OR(T222="",T222=0),"",W222/T222)</f>
        <v/>
      </c>
      <c r="AA222" s="30">
        <f>IF(OR(U222="",U222=0),"",X222/U222)</f>
        <v/>
      </c>
    </row>
    <row r="223">
      <c r="A223" s="19" t="inlineStr">
        <is>
          <t>RVST013-C20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13mm, 20mm collar</t>
        </is>
      </c>
      <c r="D223" s="22" t="inlineStr">
        <is>
          <t>Hose tail, 13 mm x 1/2" M, 20 mm collar, stainless steel 316</t>
        </is>
      </c>
      <c r="E223" s="31" t="n">
        <v>0.04</v>
      </c>
      <c r="F223" s="24" t="inlineStr">
        <is>
          <t>ESTIMATE - catalogue gives dimensions only (p.68-71)</t>
        </is>
      </c>
      <c r="G223" s="25" t="n">
        <v>7.69296</v>
      </c>
      <c r="H223" s="25" t="n">
        <v>6.73134</v>
      </c>
      <c r="I223" s="25" t="n">
        <v>6.25053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  <c r="R223" s="8" t="n"/>
      <c r="S223" s="28">
        <f>IF(M223="","",ROUND(M223*(1-IF($R223="",$U$6,$R223)),2))</f>
        <v/>
      </c>
      <c r="T223" s="28">
        <f>IF(N223="","",ROUND(N223*(1-IF($R223="",$U$6,$R223)),2))</f>
        <v/>
      </c>
      <c r="U223" s="28">
        <f>IF(O223="","",ROUND(O223*(1-IF($R223="",$U$6,$R223)),2))</f>
        <v/>
      </c>
      <c r="V223" s="27">
        <f>IF(S223="","",S223-J223)</f>
        <v/>
      </c>
      <c r="W223" s="27">
        <f>IF(T223="","",T223-K223)</f>
        <v/>
      </c>
      <c r="X223" s="27">
        <f>IF(U223="","",U223-L223)</f>
        <v/>
      </c>
      <c r="Y223" s="30">
        <f>IF(OR(S223="",S223=0),"",V223/S223)</f>
        <v/>
      </c>
      <c r="Z223" s="30">
        <f>IF(OR(T223="",T223=0),"",W223/T223)</f>
        <v/>
      </c>
      <c r="AA223" s="30">
        <f>IF(OR(U223="",U223=0),"",X223/U223)</f>
        <v/>
      </c>
    </row>
    <row r="224">
      <c r="A224" s="19" t="inlineStr">
        <is>
          <t>RVST013-C20-12F</t>
        </is>
      </c>
      <c r="B224" s="20">
        <f>IFERROR(INDEX(Conversion!$C$2:$C$500,MATCH($A224,Conversion!$B$2:$B$500,0)),"NOT ASSIGNED")</f>
        <v/>
      </c>
      <c r="C224" s="21" t="inlineStr">
        <is>
          <t>St.st. hose tail, 1/2" female x 13mm, 20mm collar</t>
        </is>
      </c>
      <c r="D224" s="22" t="inlineStr">
        <is>
          <t>Hose tail, 13 mm x 1/2" F, 20 mm collar, stainless steel 316</t>
        </is>
      </c>
      <c r="E224" s="31" t="n">
        <v>0.05</v>
      </c>
      <c r="F224" s="24" t="inlineStr">
        <is>
          <t>ESTIMATE - catalogue gives dimensions only (p.68-71)</t>
        </is>
      </c>
      <c r="G224" s="25" t="n">
        <v>7.69296</v>
      </c>
      <c r="H224" s="25" t="n">
        <v>6.73134</v>
      </c>
      <c r="I224" s="25" t="n">
        <v>6.25053</v>
      </c>
      <c r="J224" s="27">
        <f>IF(G224="","",G224/$C$5*(1+$C$8)+$E224*(1+$C$7)*$C$6)</f>
        <v/>
      </c>
      <c r="K224" s="27">
        <f>IF(H224="","",H224/$C$5*(1+$C$8)+$E224*(1+$C$7)*$C$6)</f>
        <v/>
      </c>
      <c r="L224" s="27">
        <f>IF(I224="","",I224/$C$5*(1+$C$8)+$E224*(1+$C$7)*$C$6)</f>
        <v/>
      </c>
      <c r="M224" s="28">
        <f>IF(J224="","",ROUND(J224*(1+$C$9),2))</f>
        <v/>
      </c>
      <c r="N224" s="28">
        <f>IF(K224="","",ROUND(K224*(1+$C$9),2))</f>
        <v/>
      </c>
      <c r="O224" s="28">
        <f>IF(L224="","",ROUND(L224*(1+$C$9),2))</f>
        <v/>
      </c>
      <c r="P224" s="29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  <c r="R224" s="8" t="n"/>
      <c r="S224" s="28">
        <f>IF(M224="","",ROUND(M224*(1-IF($R224="",$U$6,$R224)),2))</f>
        <v/>
      </c>
      <c r="T224" s="28">
        <f>IF(N224="","",ROUND(N224*(1-IF($R224="",$U$6,$R224)),2))</f>
        <v/>
      </c>
      <c r="U224" s="28">
        <f>IF(O224="","",ROUND(O224*(1-IF($R224="",$U$6,$R224)),2))</f>
        <v/>
      </c>
      <c r="V224" s="27">
        <f>IF(S224="","",S224-J224)</f>
        <v/>
      </c>
      <c r="W224" s="27">
        <f>IF(T224="","",T224-K224)</f>
        <v/>
      </c>
      <c r="X224" s="27">
        <f>IF(U224="","",U224-L224)</f>
        <v/>
      </c>
      <c r="Y224" s="30">
        <f>IF(OR(S224="",S224=0),"",V224/S224)</f>
        <v/>
      </c>
      <c r="Z224" s="30">
        <f>IF(OR(T224="",T224=0),"",W224/T224)</f>
        <v/>
      </c>
      <c r="AA224" s="30">
        <f>IF(OR(U224="",U224=0),"",X224/U224)</f>
        <v/>
      </c>
    </row>
    <row r="225">
      <c r="A225" s="19" t="inlineStr">
        <is>
          <t>RVST013-C20-34F</t>
        </is>
      </c>
      <c r="B225" s="20">
        <f>IFERROR(INDEX(Conversion!$C$2:$C$500,MATCH($A225,Conversion!$B$2:$B$500,0)),"NOT ASSIGNED")</f>
        <v/>
      </c>
      <c r="C225" s="21" t="inlineStr">
        <is>
          <t>St.st. hose tail, 3/4" female x 13mm, 20mm collar</t>
        </is>
      </c>
      <c r="D225" s="22" t="inlineStr">
        <is>
          <t>Hose tail, 13 mm x 3/4" F, 20 mm collar, stainless steel 316</t>
        </is>
      </c>
      <c r="E225" s="31" t="n">
        <v>0.06</v>
      </c>
      <c r="F225" s="24" t="inlineStr">
        <is>
          <t>ESTIMATE - catalogue gives dimensions only (p.68-71)</t>
        </is>
      </c>
      <c r="G225" s="25" t="n">
        <v>7.69296</v>
      </c>
      <c r="H225" s="25" t="n">
        <v>6.73134</v>
      </c>
      <c r="I225" s="25" t="n">
        <v>6.25053</v>
      </c>
      <c r="J225" s="27">
        <f>IF(G225="","",G225/$C$5*(1+$C$8)+$E225*(1+$C$7)*$C$6)</f>
        <v/>
      </c>
      <c r="K225" s="27">
        <f>IF(H225="","",H225/$C$5*(1+$C$8)+$E225*(1+$C$7)*$C$6)</f>
        <v/>
      </c>
      <c r="L225" s="27">
        <f>IF(I225="","",I225/$C$5*(1+$C$8)+$E225*(1+$C$7)*$C$6)</f>
        <v/>
      </c>
      <c r="M225" s="28">
        <f>IF(J225="","",ROUND(J225*(1+$C$9),2))</f>
        <v/>
      </c>
      <c r="N225" s="28">
        <f>IF(K225="","",ROUND(K225*(1+$C$9),2))</f>
        <v/>
      </c>
      <c r="O225" s="28">
        <f>IF(L225="","",ROUND(L225*(1+$C$9),2))</f>
        <v/>
      </c>
      <c r="P225" s="29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  <c r="R225" s="8" t="n"/>
      <c r="S225" s="28">
        <f>IF(M225="","",ROUND(M225*(1-IF($R225="",$U$6,$R225)),2))</f>
        <v/>
      </c>
      <c r="T225" s="28">
        <f>IF(N225="","",ROUND(N225*(1-IF($R225="",$U$6,$R225)),2))</f>
        <v/>
      </c>
      <c r="U225" s="28">
        <f>IF(O225="","",ROUND(O225*(1-IF($R225="",$U$6,$R225)),2))</f>
        <v/>
      </c>
      <c r="V225" s="27">
        <f>IF(S225="","",S225-J225)</f>
        <v/>
      </c>
      <c r="W225" s="27">
        <f>IF(T225="","",T225-K225)</f>
        <v/>
      </c>
      <c r="X225" s="27">
        <f>IF(U225="","",U225-L225)</f>
        <v/>
      </c>
      <c r="Y225" s="30">
        <f>IF(OR(S225="",S225=0),"",V225/S225)</f>
        <v/>
      </c>
      <c r="Z225" s="30">
        <f>IF(OR(T225="",T225=0),"",W225/T225)</f>
        <v/>
      </c>
      <c r="AA225" s="30">
        <f>IF(OR(U225="",U225=0),"",X225/U225)</f>
        <v/>
      </c>
    </row>
    <row r="226">
      <c r="A226" s="19" t="inlineStr">
        <is>
          <t>RVST013-C20-SP</t>
        </is>
      </c>
      <c r="B226" s="20">
        <f>IFERROR(INDEX(Conversion!$C$2:$C$500,MATCH($A226,Conversion!$B$2:$B$500,0)),"NOT ASSIGNED")</f>
        <v/>
      </c>
      <c r="C226" s="21" t="inlineStr">
        <is>
          <t>St.st. hose tail, 1/2" male x 13mm, 20mm collar, inside hose protection spring</t>
        </is>
      </c>
      <c r="D226" s="22" t="inlineStr">
        <is>
          <t>Hose tail, 13 mm x 1/2" M, 20 mm collar, w/ anti-kink spring, stainless steel 316</t>
        </is>
      </c>
      <c r="E226" s="31" t="n">
        <v>0.08</v>
      </c>
      <c r="F226" s="24" t="inlineStr">
        <is>
          <t>ESTIMATE - catalogue gives dimensions only (p.68-71)</t>
        </is>
      </c>
      <c r="G226" s="25" t="n">
        <v>13.946592</v>
      </c>
      <c r="H226" s="25" t="n">
        <v>12.203268</v>
      </c>
      <c r="I226" s="25" t="n">
        <v>11.331606</v>
      </c>
      <c r="J226" s="27">
        <f>IF(G226="","",G226/$C$5*(1+$C$8)+$E226*(1+$C$7)*$C$6)</f>
        <v/>
      </c>
      <c r="K226" s="27">
        <f>IF(H226="","",H226/$C$5*(1+$C$8)+$E226*(1+$C$7)*$C$6)</f>
        <v/>
      </c>
      <c r="L226" s="27">
        <f>IF(I226="","",I226/$C$5*(1+$C$8)+$E226*(1+$C$7)*$C$6)</f>
        <v/>
      </c>
      <c r="M226" s="28">
        <f>IF(J226="","",ROUND(J226*(1+$C$9),2))</f>
        <v/>
      </c>
      <c r="N226" s="28">
        <f>IF(K226="","",ROUND(K226*(1+$C$9),2))</f>
        <v/>
      </c>
      <c r="O226" s="28">
        <f>IF(L226="","",ROUND(L226*(1+$C$9),2))</f>
        <v/>
      </c>
      <c r="P226" s="29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  <c r="R226" s="8" t="n"/>
      <c r="S226" s="28">
        <f>IF(M226="","",ROUND(M226*(1-IF($R226="",$U$6,$R226)),2))</f>
        <v/>
      </c>
      <c r="T226" s="28">
        <f>IF(N226="","",ROUND(N226*(1-IF($R226="",$U$6,$R226)),2))</f>
        <v/>
      </c>
      <c r="U226" s="28">
        <f>IF(O226="","",ROUND(O226*(1-IF($R226="",$U$6,$R226)),2))</f>
        <v/>
      </c>
      <c r="V226" s="27">
        <f>IF(S226="","",S226-J226)</f>
        <v/>
      </c>
      <c r="W226" s="27">
        <f>IF(T226="","",T226-K226)</f>
        <v/>
      </c>
      <c r="X226" s="27">
        <f>IF(U226="","",U226-L226)</f>
        <v/>
      </c>
      <c r="Y226" s="30">
        <f>IF(OR(S226="",S226=0),"",V226/S226)</f>
        <v/>
      </c>
      <c r="Z226" s="30">
        <f>IF(OR(T226="",T226=0),"",W226/T226)</f>
        <v/>
      </c>
      <c r="AA226" s="30">
        <f>IF(OR(U226="",U226=0),"",X226/U226)</f>
        <v/>
      </c>
    </row>
    <row r="227">
      <c r="A227" s="19" t="inlineStr">
        <is>
          <t>RVST016-C21</t>
        </is>
      </c>
      <c r="B227" s="20">
        <f>IFERROR(INDEX(Conversion!$C$2:$C$500,MATCH($A227,Conversion!$B$2:$B$500,0)),"NOT ASSIGNED")</f>
        <v/>
      </c>
      <c r="C227" s="21" t="inlineStr">
        <is>
          <t>St.st. hose tail, 1/2" male x 16mm, 21mm collar</t>
        </is>
      </c>
      <c r="D227" s="22" t="inlineStr">
        <is>
          <t>Hose tail, 16 mm x 1/2" M, 21 mm collar, stainless steel 316</t>
        </is>
      </c>
      <c r="E227" s="31" t="n">
        <v>0.05</v>
      </c>
      <c r="F227" s="24" t="inlineStr">
        <is>
          <t>ESTIMATE - catalogue gives dimensions only (p.68-71)</t>
        </is>
      </c>
      <c r="G227" s="25" t="n">
        <v>7.69296</v>
      </c>
      <c r="H227" s="25" t="n">
        <v>6.73134</v>
      </c>
      <c r="I227" s="25" t="n">
        <v>6.25053</v>
      </c>
      <c r="J227" s="27">
        <f>IF(G227="","",G227/$C$5*(1+$C$8)+$E227*(1+$C$7)*$C$6)</f>
        <v/>
      </c>
      <c r="K227" s="27">
        <f>IF(H227="","",H227/$C$5*(1+$C$8)+$E227*(1+$C$7)*$C$6)</f>
        <v/>
      </c>
      <c r="L227" s="27">
        <f>IF(I227="","",I227/$C$5*(1+$C$8)+$E227*(1+$C$7)*$C$6)</f>
        <v/>
      </c>
      <c r="M227" s="28">
        <f>IF(J227="","",ROUND(J227*(1+$C$9),2))</f>
        <v/>
      </c>
      <c r="N227" s="28">
        <f>IF(K227="","",ROUND(K227*(1+$C$9),2))</f>
        <v/>
      </c>
      <c r="O227" s="28">
        <f>IF(L227="","",ROUND(L227*(1+$C$9),2))</f>
        <v/>
      </c>
      <c r="P227" s="29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  <c r="R227" s="8" t="n"/>
      <c r="S227" s="28">
        <f>IF(M227="","",ROUND(M227*(1-IF($R227="",$U$6,$R227)),2))</f>
        <v/>
      </c>
      <c r="T227" s="28">
        <f>IF(N227="","",ROUND(N227*(1-IF($R227="",$U$6,$R227)),2))</f>
        <v/>
      </c>
      <c r="U227" s="28">
        <f>IF(O227="","",ROUND(O227*(1-IF($R227="",$U$6,$R227)),2))</f>
        <v/>
      </c>
      <c r="V227" s="27">
        <f>IF(S227="","",S227-J227)</f>
        <v/>
      </c>
      <c r="W227" s="27">
        <f>IF(T227="","",T227-K227)</f>
        <v/>
      </c>
      <c r="X227" s="27">
        <f>IF(U227="","",U227-L227)</f>
        <v/>
      </c>
      <c r="Y227" s="30">
        <f>IF(OR(S227="",S227=0),"",V227/S227)</f>
        <v/>
      </c>
      <c r="Z227" s="30">
        <f>IF(OR(T227="",T227=0),"",W227/T227)</f>
        <v/>
      </c>
      <c r="AA227" s="30">
        <f>IF(OR(U227="",U227=0),"",X227/U227)</f>
        <v/>
      </c>
    </row>
    <row r="228">
      <c r="A228" s="19" t="inlineStr">
        <is>
          <t>RVST016-C21-SP</t>
        </is>
      </c>
      <c r="B228" s="20">
        <f>IFERROR(INDEX(Conversion!$C$2:$C$500,MATCH($A228,Conversion!$B$2:$B$500,0)),"NOT ASSIGNED")</f>
        <v/>
      </c>
      <c r="C228" s="21" t="inlineStr">
        <is>
          <t>St.st. hose tail, 1/2" male x 16mm, 21mm collar, inside hose protection spring</t>
        </is>
      </c>
      <c r="D228" s="22" t="inlineStr">
        <is>
          <t>Hose tail, 16 mm x 1/2" M, 21 mm collar, w/ anti-kink spring, stainless steel 316</t>
        </is>
      </c>
      <c r="E228" s="31" t="n">
        <v>0.09</v>
      </c>
      <c r="F228" s="24" t="inlineStr">
        <is>
          <t>ESTIMATE - catalogue gives dimensions only (p.68-71)</t>
        </is>
      </c>
      <c r="G228" s="25" t="n">
        <v>13.946592</v>
      </c>
      <c r="H228" s="25" t="n">
        <v>12.203268</v>
      </c>
      <c r="I228" s="25" t="n">
        <v>11.331606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  <c r="R228" s="8" t="n"/>
      <c r="S228" s="28">
        <f>IF(M228="","",ROUND(M228*(1-IF($R228="",$U$6,$R228)),2))</f>
        <v/>
      </c>
      <c r="T228" s="28">
        <f>IF(N228="","",ROUND(N228*(1-IF($R228="",$U$6,$R228)),2))</f>
        <v/>
      </c>
      <c r="U228" s="28">
        <f>IF(O228="","",ROUND(O228*(1-IF($R228="",$U$6,$R228)),2))</f>
        <v/>
      </c>
      <c r="V228" s="27">
        <f>IF(S228="","",S228-J228)</f>
        <v/>
      </c>
      <c r="W228" s="27">
        <f>IF(T228="","",T228-K228)</f>
        <v/>
      </c>
      <c r="X228" s="27">
        <f>IF(U228="","",U228-L228)</f>
        <v/>
      </c>
      <c r="Y228" s="30">
        <f>IF(OR(S228="",S228=0),"",V228/S228)</f>
        <v/>
      </c>
      <c r="Z228" s="30">
        <f>IF(OR(T228="",T228=0),"",W228/T228)</f>
        <v/>
      </c>
      <c r="AA228" s="30">
        <f>IF(OR(U228="",U228=0),"",X228/U228)</f>
        <v/>
      </c>
    </row>
    <row r="229">
      <c r="A229" s="19" t="inlineStr">
        <is>
          <t>RVST019-C24</t>
        </is>
      </c>
      <c r="B229" s="20">
        <f>IFERROR(INDEX(Conversion!$C$2:$C$500,MATCH($A229,Conversion!$B$2:$B$500,0)),"NOT ASSIGNED")</f>
        <v/>
      </c>
      <c r="C229" s="21" t="inlineStr">
        <is>
          <t>St.st. hose tail, 1/2" male x 19mm, 24mm collar</t>
        </is>
      </c>
      <c r="D229" s="22" t="inlineStr">
        <is>
          <t>Hose tail, 19 mm x 1/2" M, 24 mm collar, stainless steel 316</t>
        </is>
      </c>
      <c r="E229" s="31" t="n">
        <v>0.06</v>
      </c>
      <c r="F229" s="24" t="inlineStr">
        <is>
          <t>ESTIMATE - catalogue gives dimensions only (p.68-71)</t>
        </is>
      </c>
      <c r="G229" s="25" t="n">
        <v>8.114832</v>
      </c>
      <c r="H229" s="25" t="n">
        <v>7.100478</v>
      </c>
      <c r="I229" s="25" t="n">
        <v>6.593301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  <c r="R229" s="8" t="n"/>
      <c r="S229" s="28">
        <f>IF(M229="","",ROUND(M229*(1-IF($R229="",$U$6,$R229)),2))</f>
        <v/>
      </c>
      <c r="T229" s="28">
        <f>IF(N229="","",ROUND(N229*(1-IF($R229="",$U$6,$R229)),2))</f>
        <v/>
      </c>
      <c r="U229" s="28">
        <f>IF(O229="","",ROUND(O229*(1-IF($R229="",$U$6,$R229)),2))</f>
        <v/>
      </c>
      <c r="V229" s="27">
        <f>IF(S229="","",S229-J229)</f>
        <v/>
      </c>
      <c r="W229" s="27">
        <f>IF(T229="","",T229-K229)</f>
        <v/>
      </c>
      <c r="X229" s="27">
        <f>IF(U229="","",U229-L229)</f>
        <v/>
      </c>
      <c r="Y229" s="30">
        <f>IF(OR(S229="",S229=0),"",V229/S229)</f>
        <v/>
      </c>
      <c r="Z229" s="30">
        <f>IF(OR(T229="",T229=0),"",W229/T229)</f>
        <v/>
      </c>
      <c r="AA229" s="30">
        <f>IF(OR(U229="",U229=0),"",X229/U229)</f>
        <v/>
      </c>
    </row>
    <row r="230">
      <c r="A230" s="19" t="inlineStr">
        <is>
          <t>RVST019-C24-SP</t>
        </is>
      </c>
      <c r="B230" s="20">
        <f>IFERROR(INDEX(Conversion!$C$2:$C$500,MATCH($A230,Conversion!$B$2:$B$500,0)),"NOT ASSIGNED")</f>
        <v/>
      </c>
      <c r="C230" s="21" t="inlineStr">
        <is>
          <t>St.st. hose tail, 1/2" male x 19mm, 24mm collar, inside hose protection spring</t>
        </is>
      </c>
      <c r="D230" s="22" t="inlineStr">
        <is>
          <t>Hose tail, 19 mm x 1/2" M, 24 mm collar, w/ anti-kink spring, stainless steel 316</t>
        </is>
      </c>
      <c r="E230" s="31" t="n">
        <v>0.1</v>
      </c>
      <c r="F230" s="24" t="inlineStr">
        <is>
          <t>ESTIMATE - catalogue gives dimensions only (p.68-71)</t>
        </is>
      </c>
      <c r="G230" s="25" t="n">
        <v>13.946592</v>
      </c>
      <c r="H230" s="25" t="n">
        <v>12.203268</v>
      </c>
      <c r="I230" s="25" t="n">
        <v>11.331606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  <c r="R230" s="8" t="n"/>
      <c r="S230" s="28">
        <f>IF(M230="","",ROUND(M230*(1-IF($R230="",$U$6,$R230)),2))</f>
        <v/>
      </c>
      <c r="T230" s="28">
        <f>IF(N230="","",ROUND(N230*(1-IF($R230="",$U$6,$R230)),2))</f>
        <v/>
      </c>
      <c r="U230" s="28">
        <f>IF(O230="","",ROUND(O230*(1-IF($R230="",$U$6,$R230)),2))</f>
        <v/>
      </c>
      <c r="V230" s="27">
        <f>IF(S230="","",S230-J230)</f>
        <v/>
      </c>
      <c r="W230" s="27">
        <f>IF(T230="","",T230-K230)</f>
        <v/>
      </c>
      <c r="X230" s="27">
        <f>IF(U230="","",U230-L230)</f>
        <v/>
      </c>
      <c r="Y230" s="30">
        <f>IF(OR(S230="",S230=0),"",V230/S230)</f>
        <v/>
      </c>
      <c r="Z230" s="30">
        <f>IF(OR(T230="",T230=0),"",W230/T230)</f>
        <v/>
      </c>
      <c r="AA230" s="30">
        <f>IF(OR(U230="",U230=0),"",X230/U230)</f>
        <v/>
      </c>
    </row>
    <row r="231">
      <c r="A231" s="19" t="inlineStr">
        <is>
          <t>RVST025</t>
        </is>
      </c>
      <c r="B231" s="20">
        <f>IFERROR(INDEX(Conversion!$C$2:$C$500,MATCH($A231,Conversion!$B$2:$B$500,0)),"NOT ASSIGNED")</f>
        <v/>
      </c>
      <c r="C231" s="21" t="inlineStr">
        <is>
          <t>St.st. hose tail, 1/2" male x 25mm</t>
        </is>
      </c>
      <c r="D231" s="22" t="inlineStr">
        <is>
          <t>Hose tail, 25 mm x 1/2" M, stainless steel 316</t>
        </is>
      </c>
      <c r="E231" s="31" t="n">
        <v>0.06</v>
      </c>
      <c r="F231" s="24" t="inlineStr">
        <is>
          <t>ESTIMATE - catalogue gives dimensions only (p.68-71)</t>
        </is>
      </c>
      <c r="G231" s="25" t="n">
        <v>14.815152</v>
      </c>
      <c r="H231" s="25" t="n">
        <v>12.963258</v>
      </c>
      <c r="I231" s="25" t="n">
        <v>12.037311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  <c r="R231" s="8" t="n"/>
      <c r="S231" s="28">
        <f>IF(M231="","",ROUND(M231*(1-IF($R231="",$U$6,$R231)),2))</f>
        <v/>
      </c>
      <c r="T231" s="28">
        <f>IF(N231="","",ROUND(N231*(1-IF($R231="",$U$6,$R231)),2))</f>
        <v/>
      </c>
      <c r="U231" s="28">
        <f>IF(O231="","",ROUND(O231*(1-IF($R231="",$U$6,$R231)),2))</f>
        <v/>
      </c>
      <c r="V231" s="27">
        <f>IF(S231="","",S231-J231)</f>
        <v/>
      </c>
      <c r="W231" s="27">
        <f>IF(T231="","",T231-K231)</f>
        <v/>
      </c>
      <c r="X231" s="27">
        <f>IF(U231="","",U231-L231)</f>
        <v/>
      </c>
      <c r="Y231" s="30">
        <f>IF(OR(S231="",S231=0),"",V231/S231)</f>
        <v/>
      </c>
      <c r="Z231" s="30">
        <f>IF(OR(T231="",T231=0),"",W231/T231)</f>
        <v/>
      </c>
      <c r="AA231" s="30">
        <f>IF(OR(U231="",U231=0),"",X231/U231)</f>
        <v/>
      </c>
    </row>
    <row r="232"/>
    <row r="233">
      <c r="A233" s="16" t="inlineStr">
        <is>
          <t>Qty break</t>
        </is>
      </c>
      <c r="B233" s="17" t="n"/>
      <c r="C233" s="17" t="n"/>
      <c r="D233" s="17" t="n"/>
      <c r="E233" s="17" t="n"/>
      <c r="F233" s="17" t="n"/>
      <c r="G233" s="18" t="inlineStr">
        <is>
          <t>&lt; 10 pcs</t>
        </is>
      </c>
      <c r="H233" s="18" t="inlineStr">
        <is>
          <t>≥ 10 pcs</t>
        </is>
      </c>
      <c r="I233" s="18" t="inlineStr">
        <is>
          <t>≥ 50 pcs</t>
        </is>
      </c>
      <c r="J233" s="18" t="inlineStr">
        <is>
          <t>&lt; 10 pcs</t>
        </is>
      </c>
      <c r="K233" s="18" t="inlineStr">
        <is>
          <t>≥ 10 pcs</t>
        </is>
      </c>
      <c r="L233" s="18" t="inlineStr">
        <is>
          <t>≥ 50 pcs</t>
        </is>
      </c>
      <c r="M233" s="18" t="inlineStr">
        <is>
          <t>&lt; 10 pcs</t>
        </is>
      </c>
      <c r="N233" s="18" t="inlineStr">
        <is>
          <t>≥ 10 pcs</t>
        </is>
      </c>
      <c r="O233" s="18" t="inlineStr">
        <is>
          <t>≥ 50 pcs</t>
        </is>
      </c>
      <c r="P233" s="17" t="n"/>
      <c r="R233" s="17" t="n"/>
      <c r="S233" s="18" t="inlineStr">
        <is>
          <t>&lt; 10 pcs</t>
        </is>
      </c>
      <c r="T233" s="18" t="inlineStr">
        <is>
          <t>≥ 10 pcs</t>
        </is>
      </c>
      <c r="U233" s="18" t="inlineStr">
        <is>
          <t>≥ 50 pcs</t>
        </is>
      </c>
      <c r="V233" s="18" t="inlineStr">
        <is>
          <t>&lt; 10 pcs</t>
        </is>
      </c>
      <c r="W233" s="18" t="inlineStr">
        <is>
          <t>≥ 10 pcs</t>
        </is>
      </c>
      <c r="X233" s="18" t="inlineStr">
        <is>
          <t>≥ 50 pcs</t>
        </is>
      </c>
      <c r="Y233" s="18" t="inlineStr">
        <is>
          <t>&lt; 10 pcs</t>
        </is>
      </c>
      <c r="Z233" s="18" t="inlineStr">
        <is>
          <t>≥ 10 pcs</t>
        </is>
      </c>
      <c r="AA233" s="18" t="inlineStr">
        <is>
          <t>≥ 50 pcs</t>
        </is>
      </c>
    </row>
    <row r="234">
      <c r="A234" s="19" t="inlineStr">
        <is>
          <t>RVSW13C17-12C</t>
        </is>
      </c>
      <c r="B234" s="20">
        <f>IFERROR(INDEX(Conversion!$C$2:$C$500,MATCH($A234,Conversion!$B$2:$B$500,0)),"NOT ASSIGNED")</f>
        <v/>
      </c>
      <c r="C234" s="21" t="inlineStr">
        <is>
          <t>St.st. hose tail 13mm x 1/2" BSP female screw cap with conical seal, 17mm collar</t>
        </is>
      </c>
      <c r="D234" s="22" t="inlineStr">
        <is>
          <t>Hose tail w/ union nut, 13 mm x 1/2" F, conical seal, 17 mm collar, stainless steel 316</t>
        </is>
      </c>
      <c r="E234" s="31" t="n">
        <v>0.06</v>
      </c>
      <c r="F234" s="24" t="inlineStr">
        <is>
          <t>ESTIMATE - catalogue gives dimensions only (p.68-71)</t>
        </is>
      </c>
      <c r="G234" s="25" t="n">
        <v>17.43324</v>
      </c>
      <c r="H234" s="25" t="n">
        <v>13.946592</v>
      </c>
      <c r="I234" s="25" t="n">
        <v>12.203268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  <c r="R234" s="8" t="n"/>
      <c r="S234" s="28">
        <f>IF(M234="","",ROUND(M234*(1-IF($R234="",$U$6,$R234)),2))</f>
        <v/>
      </c>
      <c r="T234" s="28">
        <f>IF(N234="","",ROUND(N234*(1-IF($R234="",$U$6,$R234)),2))</f>
        <v/>
      </c>
      <c r="U234" s="28">
        <f>IF(O234="","",ROUND(O234*(1-IF($R234="",$U$6,$R234)),2))</f>
        <v/>
      </c>
      <c r="V234" s="27">
        <f>IF(S234="","",S234-J234)</f>
        <v/>
      </c>
      <c r="W234" s="27">
        <f>IF(T234="","",T234-K234)</f>
        <v/>
      </c>
      <c r="X234" s="27">
        <f>IF(U234="","",U234-L234)</f>
        <v/>
      </c>
      <c r="Y234" s="30">
        <f>IF(OR(S234="",S234=0),"",V234/S234)</f>
        <v/>
      </c>
      <c r="Z234" s="30">
        <f>IF(OR(T234="",T234=0),"",W234/T234)</f>
        <v/>
      </c>
      <c r="AA234" s="30">
        <f>IF(OR(U234="",U234=0),"",X234/U234)</f>
        <v/>
      </c>
    </row>
    <row r="235">
      <c r="A235" s="19" t="inlineStr">
        <is>
          <t>RVSW13C17-34F</t>
        </is>
      </c>
      <c r="B235" s="20">
        <f>IFERROR(INDEX(Conversion!$C$2:$C$500,MATCH($A235,Conversion!$B$2:$B$500,0)),"NOT ASSIGNED")</f>
        <v/>
      </c>
      <c r="C235" s="21" t="inlineStr">
        <is>
          <t>St.st. hose tail 13mm x 3/4" BSP female screw cap with flat seal, 17mm collar</t>
        </is>
      </c>
      <c r="D235" s="22" t="inlineStr">
        <is>
          <t>Hose tail w/ union nut, 13 mm x 3/4" F, flat seal, 17 mm collar, stainless steel 316</t>
        </is>
      </c>
      <c r="E235" s="31" t="n">
        <v>0.07000000000000001</v>
      </c>
      <c r="F235" s="24" t="inlineStr">
        <is>
          <t>ESTIMATE - catalogue gives dimensions only (p.68-71)</t>
        </is>
      </c>
      <c r="G235" s="25" t="n">
        <v>17.43324</v>
      </c>
      <c r="H235" s="25" t="n">
        <v>13.946592</v>
      </c>
      <c r="I235" s="25" t="n">
        <v>12.203268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  <c r="R235" s="8" t="n"/>
      <c r="S235" s="28">
        <f>IF(M235="","",ROUND(M235*(1-IF($R235="",$U$6,$R235)),2))</f>
        <v/>
      </c>
      <c r="T235" s="28">
        <f>IF(N235="","",ROUND(N235*(1-IF($R235="",$U$6,$R235)),2))</f>
        <v/>
      </c>
      <c r="U235" s="28">
        <f>IF(O235="","",ROUND(O235*(1-IF($R235="",$U$6,$R235)),2))</f>
        <v/>
      </c>
      <c r="V235" s="27">
        <f>IF(S235="","",S235-J235)</f>
        <v/>
      </c>
      <c r="W235" s="27">
        <f>IF(T235="","",T235-K235)</f>
        <v/>
      </c>
      <c r="X235" s="27">
        <f>IF(U235="","",U235-L235)</f>
        <v/>
      </c>
      <c r="Y235" s="30">
        <f>IF(OR(S235="",S235=0),"",V235/S235)</f>
        <v/>
      </c>
      <c r="Z235" s="30">
        <f>IF(OR(T235="",T235=0),"",W235/T235)</f>
        <v/>
      </c>
      <c r="AA235" s="30">
        <f>IF(OR(U235="",U235=0),"",X235/U235)</f>
        <v/>
      </c>
    </row>
    <row r="236">
      <c r="A236" s="19" t="inlineStr">
        <is>
          <t>RVSW13C20-12C</t>
        </is>
      </c>
      <c r="B236" s="20">
        <f>IFERROR(INDEX(Conversion!$C$2:$C$500,MATCH($A236,Conversion!$B$2:$B$500,0)),"NOT ASSIGNED")</f>
        <v/>
      </c>
      <c r="C236" s="21" t="inlineStr">
        <is>
          <t>St.st. hose tail 13mm x 1/2" BSP female screw cap with conical seal, 20mm collar</t>
        </is>
      </c>
      <c r="D236" s="22" t="inlineStr">
        <is>
          <t>Hose tail w/ union nut, 13 mm x 1/2" F, conical seal, 20 mm collar, stainless steel 316</t>
        </is>
      </c>
      <c r="E236" s="31" t="n">
        <v>0.06</v>
      </c>
      <c r="F236" s="24" t="inlineStr">
        <is>
          <t>ESTIMATE - catalogue gives dimensions only (p.68-71)</t>
        </is>
      </c>
      <c r="G236" s="25" t="n">
        <v>17.43324</v>
      </c>
      <c r="H236" s="25" t="n">
        <v>13.946592</v>
      </c>
      <c r="I236" s="25" t="n">
        <v>12.203268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  <c r="R236" s="8" t="n"/>
      <c r="S236" s="28">
        <f>IF(M236="","",ROUND(M236*(1-IF($R236="",$U$6,$R236)),2))</f>
        <v/>
      </c>
      <c r="T236" s="28">
        <f>IF(N236="","",ROUND(N236*(1-IF($R236="",$U$6,$R236)),2))</f>
        <v/>
      </c>
      <c r="U236" s="28">
        <f>IF(O236="","",ROUND(O236*(1-IF($R236="",$U$6,$R236)),2))</f>
        <v/>
      </c>
      <c r="V236" s="27">
        <f>IF(S236="","",S236-J236)</f>
        <v/>
      </c>
      <c r="W236" s="27">
        <f>IF(T236="","",T236-K236)</f>
        <v/>
      </c>
      <c r="X236" s="27">
        <f>IF(U236="","",U236-L236)</f>
        <v/>
      </c>
      <c r="Y236" s="30">
        <f>IF(OR(S236="",S236=0),"",V236/S236)</f>
        <v/>
      </c>
      <c r="Z236" s="30">
        <f>IF(OR(T236="",T236=0),"",W236/T236)</f>
        <v/>
      </c>
      <c r="AA236" s="30">
        <f>IF(OR(U236="",U236=0),"",X236/U236)</f>
        <v/>
      </c>
    </row>
    <row r="237">
      <c r="A237" s="19" t="inlineStr">
        <is>
          <t>RVSW13C20-12F</t>
        </is>
      </c>
      <c r="B237" s="20">
        <f>IFERROR(INDEX(Conversion!$C$2:$C$500,MATCH($A237,Conversion!$B$2:$B$500,0)),"NOT ASSIGNED")</f>
        <v/>
      </c>
      <c r="C237" s="21" t="inlineStr">
        <is>
          <t>St.st. hose tail 13mm x 1/2" BSP female screw cap with flat seal, 20mm collar</t>
        </is>
      </c>
      <c r="D237" s="22" t="inlineStr">
        <is>
          <t>Hose tail w/ union nut, 13 mm x 1/2" F, flat seal, 20 mm collar, stainless steel 316</t>
        </is>
      </c>
      <c r="E237" s="31" t="n">
        <v>0.06</v>
      </c>
      <c r="F237" s="24" t="inlineStr">
        <is>
          <t>ESTIMATE - catalogue gives dimensions only (p.68-71)</t>
        </is>
      </c>
      <c r="G237" s="25" t="n">
        <v>17.43324</v>
      </c>
      <c r="H237" s="25" t="n">
        <v>13.946592</v>
      </c>
      <c r="I237" s="25" t="n">
        <v>12.203268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  <c r="R237" s="8" t="n"/>
      <c r="S237" s="28">
        <f>IF(M237="","",ROUND(M237*(1-IF($R237="",$U$6,$R237)),2))</f>
        <v/>
      </c>
      <c r="T237" s="28">
        <f>IF(N237="","",ROUND(N237*(1-IF($R237="",$U$6,$R237)),2))</f>
        <v/>
      </c>
      <c r="U237" s="28">
        <f>IF(O237="","",ROUND(O237*(1-IF($R237="",$U$6,$R237)),2))</f>
        <v/>
      </c>
      <c r="V237" s="27">
        <f>IF(S237="","",S237-J237)</f>
        <v/>
      </c>
      <c r="W237" s="27">
        <f>IF(T237="","",T237-K237)</f>
        <v/>
      </c>
      <c r="X237" s="27">
        <f>IF(U237="","",U237-L237)</f>
        <v/>
      </c>
      <c r="Y237" s="30">
        <f>IF(OR(S237="",S237=0),"",V237/S237)</f>
        <v/>
      </c>
      <c r="Z237" s="30">
        <f>IF(OR(T237="",T237=0),"",W237/T237)</f>
        <v/>
      </c>
      <c r="AA237" s="30">
        <f>IF(OR(U237="",U237=0),"",X237/U237)</f>
        <v/>
      </c>
    </row>
    <row r="238">
      <c r="A238" s="19" t="inlineStr">
        <is>
          <t>RVSW13C20-12FS</t>
        </is>
      </c>
      <c r="B238" s="20">
        <f>IFERROR(INDEX(Conversion!$C$2:$C$500,MATCH($A238,Conversion!$B$2:$B$500,0)),"NOT ASSIGNED")</f>
        <v/>
      </c>
      <c r="C238" s="21" t="inlineStr">
        <is>
          <t>St.st. hose tail 13mm x 1/2" BSP female screw cap with flat seal, 20mm collar and spring</t>
        </is>
      </c>
      <c r="D238" s="22" t="inlineStr">
        <is>
          <t>Hose tail w/ union nut, 13 mm x 1/2" F, flat seal, 20 mm collar, w/ anti-kink spring, stainless steel 316</t>
        </is>
      </c>
      <c r="E238" s="31" t="n">
        <v>0.1</v>
      </c>
      <c r="F238" s="24" t="inlineStr">
        <is>
          <t>ESTIMATE - catalogue gives dimensions only (p.68-71)</t>
        </is>
      </c>
      <c r="G238" s="25" t="n">
        <v>24.68158</v>
      </c>
      <c r="H238" s="25" t="n">
        <v>19.745264</v>
      </c>
      <c r="I238" s="25" t="n">
        <v>17.277106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  <c r="R238" s="8" t="n"/>
      <c r="S238" s="28">
        <f>IF(M238="","",ROUND(M238*(1-IF($R238="",$U$6,$R238)),2))</f>
        <v/>
      </c>
      <c r="T238" s="28">
        <f>IF(N238="","",ROUND(N238*(1-IF($R238="",$U$6,$R238)),2))</f>
        <v/>
      </c>
      <c r="U238" s="28">
        <f>IF(O238="","",ROUND(O238*(1-IF($R238="",$U$6,$R238)),2))</f>
        <v/>
      </c>
      <c r="V238" s="27">
        <f>IF(S238="","",S238-J238)</f>
        <v/>
      </c>
      <c r="W238" s="27">
        <f>IF(T238="","",T238-K238)</f>
        <v/>
      </c>
      <c r="X238" s="27">
        <f>IF(U238="","",U238-L238)</f>
        <v/>
      </c>
      <c r="Y238" s="30">
        <f>IF(OR(S238="",S238=0),"",V238/S238)</f>
        <v/>
      </c>
      <c r="Z238" s="30">
        <f>IF(OR(T238="",T238=0),"",W238/T238)</f>
        <v/>
      </c>
      <c r="AA238" s="30">
        <f>IF(OR(U238="",U238=0),"",X238/U238)</f>
        <v/>
      </c>
    </row>
    <row r="239">
      <c r="A239" s="19" t="inlineStr">
        <is>
          <t>RVSW13C20-34F</t>
        </is>
      </c>
      <c r="B239" s="20">
        <f>IFERROR(INDEX(Conversion!$C$2:$C$500,MATCH($A239,Conversion!$B$2:$B$500,0)),"NOT ASSIGNED")</f>
        <v/>
      </c>
      <c r="C239" s="21" t="inlineStr">
        <is>
          <t>St.st. hose tail 13mm x 3/4" BSP female screw cap with flat seal, 20mm collar</t>
        </is>
      </c>
      <c r="D239" s="22" t="inlineStr">
        <is>
          <t>Hose tail w/ union nut, 13 mm x 3/4" F, flat seal, 20 mm collar, stainless steel 316</t>
        </is>
      </c>
      <c r="E239" s="31" t="n">
        <v>0.07000000000000001</v>
      </c>
      <c r="F239" s="24" t="inlineStr">
        <is>
          <t>ESTIMATE - catalogue gives dimensions only (p.68-71)</t>
        </is>
      </c>
      <c r="G239" s="25" t="n">
        <v>17.43324</v>
      </c>
      <c r="H239" s="25" t="n">
        <v>13.946592</v>
      </c>
      <c r="I239" s="25" t="n">
        <v>12.203268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  <c r="R239" s="8" t="n"/>
      <c r="S239" s="28">
        <f>IF(M239="","",ROUND(M239*(1-IF($R239="",$U$6,$R239)),2))</f>
        <v/>
      </c>
      <c r="T239" s="28">
        <f>IF(N239="","",ROUND(N239*(1-IF($R239="",$U$6,$R239)),2))</f>
        <v/>
      </c>
      <c r="U239" s="28">
        <f>IF(O239="","",ROUND(O239*(1-IF($R239="",$U$6,$R239)),2))</f>
        <v/>
      </c>
      <c r="V239" s="27">
        <f>IF(S239="","",S239-J239)</f>
        <v/>
      </c>
      <c r="W239" s="27">
        <f>IF(T239="","",T239-K239)</f>
        <v/>
      </c>
      <c r="X239" s="27">
        <f>IF(U239="","",U239-L239)</f>
        <v/>
      </c>
      <c r="Y239" s="30">
        <f>IF(OR(S239="",S239=0),"",V239/S239)</f>
        <v/>
      </c>
      <c r="Z239" s="30">
        <f>IF(OR(T239="",T239=0),"",W239/T239)</f>
        <v/>
      </c>
      <c r="AA239" s="30">
        <f>IF(OR(U239="",U239=0),"",X239/U239)</f>
        <v/>
      </c>
    </row>
    <row r="240">
      <c r="A240" s="19" t="inlineStr">
        <is>
          <t>RVSW16C21-12C</t>
        </is>
      </c>
      <c r="B240" s="20">
        <f>IFERROR(INDEX(Conversion!$C$2:$C$500,MATCH($A240,Conversion!$B$2:$B$500,0)),"NOT ASSIGNED")</f>
        <v/>
      </c>
      <c r="C240" s="21" t="inlineStr">
        <is>
          <t>St.st. hose tail 16mm x 1/2" BSP female screw cap with conical seal, 21mm collar</t>
        </is>
      </c>
      <c r="D240" s="22" t="inlineStr">
        <is>
          <t>Hose tail w/ union nut, 16 mm x 1/2" F, conical seal, 21 mm collar, stainless steel 316</t>
        </is>
      </c>
      <c r="E240" s="31" t="n">
        <v>0.07000000000000001</v>
      </c>
      <c r="F240" s="24" t="inlineStr">
        <is>
          <t>ESTIMATE - catalogue gives dimensions only (p.68-71)</t>
        </is>
      </c>
      <c r="G240" s="25" t="n">
        <v>21.02122</v>
      </c>
      <c r="H240" s="25" t="n">
        <v>16.816976</v>
      </c>
      <c r="I240" s="25" t="n">
        <v>14.714854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  <c r="R240" s="8" t="n"/>
      <c r="S240" s="28">
        <f>IF(M240="","",ROUND(M240*(1-IF($R240="",$U$6,$R240)),2))</f>
        <v/>
      </c>
      <c r="T240" s="28">
        <f>IF(N240="","",ROUND(N240*(1-IF($R240="",$U$6,$R240)),2))</f>
        <v/>
      </c>
      <c r="U240" s="28">
        <f>IF(O240="","",ROUND(O240*(1-IF($R240="",$U$6,$R240)),2))</f>
        <v/>
      </c>
      <c r="V240" s="27">
        <f>IF(S240="","",S240-J240)</f>
        <v/>
      </c>
      <c r="W240" s="27">
        <f>IF(T240="","",T240-K240)</f>
        <v/>
      </c>
      <c r="X240" s="27">
        <f>IF(U240="","",U240-L240)</f>
        <v/>
      </c>
      <c r="Y240" s="30">
        <f>IF(OR(S240="",S240=0),"",V240/S240)</f>
        <v/>
      </c>
      <c r="Z240" s="30">
        <f>IF(OR(T240="",T240=0),"",W240/T240)</f>
        <v/>
      </c>
      <c r="AA240" s="30">
        <f>IF(OR(U240="",U240=0),"",X240/U240)</f>
        <v/>
      </c>
    </row>
    <row r="241">
      <c r="A241" s="19" t="inlineStr">
        <is>
          <t>RVSW16C21-12CS</t>
        </is>
      </c>
      <c r="B241" s="20">
        <f>IFERROR(INDEX(Conversion!$C$2:$C$500,MATCH($A241,Conversion!$B$2:$B$500,0)),"NOT ASSIGNED")</f>
        <v/>
      </c>
      <c r="C241" s="21" t="inlineStr">
        <is>
          <t>St.st. hose tail 16mm x 1/2" BSP female screw cap with conical seal, 21mm collar and spring</t>
        </is>
      </c>
      <c r="D241" s="22" t="inlineStr">
        <is>
          <t>Hose tail w/ union nut, 16 mm x 1/2" F, conical seal, 21 mm collar, w/ anti-kink spring, stainless steel 316</t>
        </is>
      </c>
      <c r="E241" s="31" t="n">
        <v>0.11</v>
      </c>
      <c r="F241" s="24" t="inlineStr">
        <is>
          <t>ESTIMATE - catalogue gives dimensions only (p.68-71)</t>
        </is>
      </c>
      <c r="G241" s="25" t="n">
        <v>25.61218</v>
      </c>
      <c r="H241" s="25" t="n">
        <v>20.489744</v>
      </c>
      <c r="I241" s="25" t="n">
        <v>17.928526</v>
      </c>
      <c r="J241" s="27">
        <f>IF(G241="","",G241/$C$5*(1+$C$8)+$E241*(1+$C$7)*$C$6)</f>
        <v/>
      </c>
      <c r="K241" s="27">
        <f>IF(H241="","",H241/$C$5*(1+$C$8)+$E241*(1+$C$7)*$C$6)</f>
        <v/>
      </c>
      <c r="L241" s="27">
        <f>IF(I241="","",I241/$C$5*(1+$C$8)+$E241*(1+$C$7)*$C$6)</f>
        <v/>
      </c>
      <c r="M241" s="28">
        <f>IF(J241="","",ROUND(J241*(1+$C$9),2))</f>
        <v/>
      </c>
      <c r="N241" s="28">
        <f>IF(K241="","",ROUND(K241*(1+$C$9),2))</f>
        <v/>
      </c>
      <c r="O241" s="28">
        <f>IF(L241="","",ROUND(L241*(1+$C$9),2))</f>
        <v/>
      </c>
      <c r="P241" s="29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  <c r="R241" s="8" t="n"/>
      <c r="S241" s="28">
        <f>IF(M241="","",ROUND(M241*(1-IF($R241="",$U$6,$R241)),2))</f>
        <v/>
      </c>
      <c r="T241" s="28">
        <f>IF(N241="","",ROUND(N241*(1-IF($R241="",$U$6,$R241)),2))</f>
        <v/>
      </c>
      <c r="U241" s="28">
        <f>IF(O241="","",ROUND(O241*(1-IF($R241="",$U$6,$R241)),2))</f>
        <v/>
      </c>
      <c r="V241" s="27">
        <f>IF(S241="","",S241-J241)</f>
        <v/>
      </c>
      <c r="W241" s="27">
        <f>IF(T241="","",T241-K241)</f>
        <v/>
      </c>
      <c r="X241" s="27">
        <f>IF(U241="","",U241-L241)</f>
        <v/>
      </c>
      <c r="Y241" s="30">
        <f>IF(OR(S241="",S241=0),"",V241/S241)</f>
        <v/>
      </c>
      <c r="Z241" s="30">
        <f>IF(OR(T241="",T241=0),"",W241/T241)</f>
        <v/>
      </c>
      <c r="AA241" s="30">
        <f>IF(OR(U241="",U241=0),"",X241/U241)</f>
        <v/>
      </c>
    </row>
    <row r="242">
      <c r="A242" s="19" t="inlineStr">
        <is>
          <t>RVSW16C21-12F</t>
        </is>
      </c>
      <c r="B242" s="20">
        <f>IFERROR(INDEX(Conversion!$C$2:$C$500,MATCH($A242,Conversion!$B$2:$B$500,0)),"NOT ASSIGNED")</f>
        <v/>
      </c>
      <c r="C242" s="21" t="inlineStr">
        <is>
          <t>St.st. hose tail 16mm x 1/2" BSP female screw cap with flat seal, 21mm collar</t>
        </is>
      </c>
      <c r="D242" s="22" t="inlineStr">
        <is>
          <t>Hose tail w/ union nut, 16 mm x 1/2" F, flat seal, 21 mm collar, stainless steel 316</t>
        </is>
      </c>
      <c r="E242" s="31" t="n">
        <v>0.07000000000000001</v>
      </c>
      <c r="F242" s="24" t="inlineStr">
        <is>
          <t>ESTIMATE - catalogue gives dimensions only (p.68-71)</t>
        </is>
      </c>
      <c r="G242" s="25" t="n">
        <v>25.39504</v>
      </c>
      <c r="H242" s="25" t="n">
        <v>20.316032</v>
      </c>
      <c r="I242" s="25" t="n">
        <v>17.776528</v>
      </c>
      <c r="J242" s="27">
        <f>IF(G242="","",G242/$C$5*(1+$C$8)+$E242*(1+$C$7)*$C$6)</f>
        <v/>
      </c>
      <c r="K242" s="27">
        <f>IF(H242="","",H242/$C$5*(1+$C$8)+$E242*(1+$C$7)*$C$6)</f>
        <v/>
      </c>
      <c r="L242" s="27">
        <f>IF(I242="","",I242/$C$5*(1+$C$8)+$E242*(1+$C$7)*$C$6)</f>
        <v/>
      </c>
      <c r="M242" s="28">
        <f>IF(J242="","",ROUND(J242*(1+$C$9),2))</f>
        <v/>
      </c>
      <c r="N242" s="28">
        <f>IF(K242="","",ROUND(K242*(1+$C$9),2))</f>
        <v/>
      </c>
      <c r="O242" s="28">
        <f>IF(L242="","",ROUND(L242*(1+$C$9),2))</f>
        <v/>
      </c>
      <c r="P242" s="29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  <c r="R242" s="8" t="n"/>
      <c r="S242" s="28">
        <f>IF(M242="","",ROUND(M242*(1-IF($R242="",$U$6,$R242)),2))</f>
        <v/>
      </c>
      <c r="T242" s="28">
        <f>IF(N242="","",ROUND(N242*(1-IF($R242="",$U$6,$R242)),2))</f>
        <v/>
      </c>
      <c r="U242" s="28">
        <f>IF(O242="","",ROUND(O242*(1-IF($R242="",$U$6,$R242)),2))</f>
        <v/>
      </c>
      <c r="V242" s="27">
        <f>IF(S242="","",S242-J242)</f>
        <v/>
      </c>
      <c r="W242" s="27">
        <f>IF(T242="","",T242-K242)</f>
        <v/>
      </c>
      <c r="X242" s="27">
        <f>IF(U242="","",U242-L242)</f>
        <v/>
      </c>
      <c r="Y242" s="30">
        <f>IF(OR(S242="",S242=0),"",V242/S242)</f>
        <v/>
      </c>
      <c r="Z242" s="30">
        <f>IF(OR(T242="",T242=0),"",W242/T242)</f>
        <v/>
      </c>
      <c r="AA242" s="30">
        <f>IF(OR(U242="",U242=0),"",X242/U242)</f>
        <v/>
      </c>
    </row>
    <row r="243">
      <c r="A243" s="19" t="inlineStr">
        <is>
          <t>RVSW16C21-34F</t>
        </is>
      </c>
      <c r="B243" s="20">
        <f>IFERROR(INDEX(Conversion!$C$2:$C$500,MATCH($A243,Conversion!$B$2:$B$500,0)),"NOT ASSIGNED")</f>
        <v/>
      </c>
      <c r="C243" s="21" t="inlineStr">
        <is>
          <t>St.st. hose tail 16mm x 3/4" BSP female screw cap with flat seal, 21mm collar</t>
        </is>
      </c>
      <c r="D243" s="22" t="inlineStr">
        <is>
          <t>Hose tail w/ union nut, 16 mm x 3/4" F, flat seal, 21 mm collar, stainless steel 316</t>
        </is>
      </c>
      <c r="E243" s="31" t="n">
        <v>0.08</v>
      </c>
      <c r="F243" s="24" t="inlineStr">
        <is>
          <t>ESTIMATE - catalogue gives dimensions only (p.68-71)</t>
        </is>
      </c>
      <c r="G243" s="25" t="n">
        <v>25.39504</v>
      </c>
      <c r="H243" s="25" t="n">
        <v>20.316032</v>
      </c>
      <c r="I243" s="25" t="n">
        <v>17.776528</v>
      </c>
      <c r="J243" s="27">
        <f>IF(G243="","",G243/$C$5*(1+$C$8)+$E243*(1+$C$7)*$C$6)</f>
        <v/>
      </c>
      <c r="K243" s="27">
        <f>IF(H243="","",H243/$C$5*(1+$C$8)+$E243*(1+$C$7)*$C$6)</f>
        <v/>
      </c>
      <c r="L243" s="27">
        <f>IF(I243="","",I243/$C$5*(1+$C$8)+$E243*(1+$C$7)*$C$6)</f>
        <v/>
      </c>
      <c r="M243" s="28">
        <f>IF(J243="","",ROUND(J243*(1+$C$9),2))</f>
        <v/>
      </c>
      <c r="N243" s="28">
        <f>IF(K243="","",ROUND(K243*(1+$C$9),2))</f>
        <v/>
      </c>
      <c r="O243" s="28">
        <f>IF(L243="","",ROUND(L243*(1+$C$9),2))</f>
        <v/>
      </c>
      <c r="P243" s="29">
        <f>TRIM(IF($B243="NOT ASSIGNED","No NW part no. ","")&amp;IFERROR(IF(INDEX(Conversion!$J$2:$J$500,MATCH($A243,Conversion!$B$2:$B$500,0))="Needs review","Conversion table: needs review. ",""),"")&amp;IF(LEFT($F243,8)="ESTIMATE","Weight estimated. ","")&amp;"")</f>
        <v/>
      </c>
      <c r="R243" s="8" t="n"/>
      <c r="S243" s="28">
        <f>IF(M243="","",ROUND(M243*(1-IF($R243="",$U$6,$R243)),2))</f>
        <v/>
      </c>
      <c r="T243" s="28">
        <f>IF(N243="","",ROUND(N243*(1-IF($R243="",$U$6,$R243)),2))</f>
        <v/>
      </c>
      <c r="U243" s="28">
        <f>IF(O243="","",ROUND(O243*(1-IF($R243="",$U$6,$R243)),2))</f>
        <v/>
      </c>
      <c r="V243" s="27">
        <f>IF(S243="","",S243-J243)</f>
        <v/>
      </c>
      <c r="W243" s="27">
        <f>IF(T243="","",T243-K243)</f>
        <v/>
      </c>
      <c r="X243" s="27">
        <f>IF(U243="","",U243-L243)</f>
        <v/>
      </c>
      <c r="Y243" s="30">
        <f>IF(OR(S243="",S243=0),"",V243/S243)</f>
        <v/>
      </c>
      <c r="Z243" s="30">
        <f>IF(OR(T243="",T243=0),"",W243/T243)</f>
        <v/>
      </c>
      <c r="AA243" s="30">
        <f>IF(OR(U243="",U243=0),"",X243/U243)</f>
        <v/>
      </c>
    </row>
    <row r="244">
      <c r="A244" s="19" t="inlineStr">
        <is>
          <t>RVSW19C24-34C</t>
        </is>
      </c>
      <c r="B244" s="20">
        <f>IFERROR(INDEX(Conversion!$C$2:$C$500,MATCH($A244,Conversion!$B$2:$B$500,0)),"NOT ASSIGNED")</f>
        <v/>
      </c>
      <c r="C244" s="21" t="inlineStr">
        <is>
          <t>St.st. hose tail 19mm x 3/4" BSP female screw cap with conical seal, 24mm collar</t>
        </is>
      </c>
      <c r="D244" s="22" t="inlineStr">
        <is>
          <t>Hose tail w/ union nut, 19 mm x 3/4" F, conical seal, 24 mm collar, stainless steel 316</t>
        </is>
      </c>
      <c r="E244" s="31" t="n">
        <v>0.09</v>
      </c>
      <c r="F244" s="24" t="inlineStr">
        <is>
          <t>ESTIMATE - catalogue gives dimensions only (p.68-71)</t>
        </is>
      </c>
      <c r="G244" s="25" t="n">
        <v>25.61218</v>
      </c>
      <c r="H244" s="25" t="n">
        <v>20.489744</v>
      </c>
      <c r="I244" s="25" t="n">
        <v>17.928526</v>
      </c>
      <c r="J244" s="27">
        <f>IF(G244="","",G244/$C$5*(1+$C$8)+$E244*(1+$C$7)*$C$6)</f>
        <v/>
      </c>
      <c r="K244" s="27">
        <f>IF(H244="","",H244/$C$5*(1+$C$8)+$E244*(1+$C$7)*$C$6)</f>
        <v/>
      </c>
      <c r="L244" s="27">
        <f>IF(I244="","",I244/$C$5*(1+$C$8)+$E244*(1+$C$7)*$C$6)</f>
        <v/>
      </c>
      <c r="M244" s="28">
        <f>IF(J244="","",ROUND(J244*(1+$C$9),2))</f>
        <v/>
      </c>
      <c r="N244" s="28">
        <f>IF(K244="","",ROUND(K244*(1+$C$9),2))</f>
        <v/>
      </c>
      <c r="O244" s="28">
        <f>IF(L244="","",ROUND(L244*(1+$C$9),2))</f>
        <v/>
      </c>
      <c r="P244" s="29">
        <f>TRIM(IF($B244="NOT ASSIGNED","No NW part no. ","")&amp;IFERROR(IF(INDEX(Conversion!$J$2:$J$500,MATCH($A244,Conversion!$B$2:$B$500,0))="Needs review","Conversion table: needs review. ",""),"")&amp;IF(LEFT($F244,8)="ESTIMATE","Weight estimated. ","")&amp;"")</f>
        <v/>
      </c>
      <c r="R244" s="8" t="n"/>
      <c r="S244" s="28">
        <f>IF(M244="","",ROUND(M244*(1-IF($R244="",$U$6,$R244)),2))</f>
        <v/>
      </c>
      <c r="T244" s="28">
        <f>IF(N244="","",ROUND(N244*(1-IF($R244="",$U$6,$R244)),2))</f>
        <v/>
      </c>
      <c r="U244" s="28">
        <f>IF(O244="","",ROUND(O244*(1-IF($R244="",$U$6,$R244)),2))</f>
        <v/>
      </c>
      <c r="V244" s="27">
        <f>IF(S244="","",S244-J244)</f>
        <v/>
      </c>
      <c r="W244" s="27">
        <f>IF(T244="","",T244-K244)</f>
        <v/>
      </c>
      <c r="X244" s="27">
        <f>IF(U244="","",U244-L244)</f>
        <v/>
      </c>
      <c r="Y244" s="30">
        <f>IF(OR(S244="",S244=0),"",V244/S244)</f>
        <v/>
      </c>
      <c r="Z244" s="30">
        <f>IF(OR(T244="",T244=0),"",W244/T244)</f>
        <v/>
      </c>
      <c r="AA244" s="30">
        <f>IF(OR(U244="",U244=0),"",X244/U244)</f>
        <v/>
      </c>
    </row>
    <row r="245">
      <c r="A245" s="19" t="inlineStr">
        <is>
          <t>RVSW19C24-34F</t>
        </is>
      </c>
      <c r="B245" s="20">
        <f>IFERROR(INDEX(Conversion!$C$2:$C$500,MATCH($A245,Conversion!$B$2:$B$500,0)),"NOT ASSIGNED")</f>
        <v/>
      </c>
      <c r="C245" s="21" t="inlineStr">
        <is>
          <t>St.st. hose tail 19mm x 3/4" BSP female screw cap with flat seal, 24mm collar</t>
        </is>
      </c>
      <c r="D245" s="22" t="inlineStr">
        <is>
          <t>Hose tail w/ union nut, 19 mm x 3/4" F, flat seal, 24 mm collar, stainless steel 316</t>
        </is>
      </c>
      <c r="E245" s="31" t="n">
        <v>0.09</v>
      </c>
      <c r="F245" s="24" t="inlineStr">
        <is>
          <t>ESTIMATE - catalogue gives dimensions only (p.68-71)</t>
        </is>
      </c>
      <c r="G245" s="25" t="n">
        <v>26.4704</v>
      </c>
      <c r="H245" s="25" t="n">
        <v>21.17632</v>
      </c>
      <c r="I245" s="25" t="n">
        <v>18.52928</v>
      </c>
      <c r="J245" s="27">
        <f>IF(G245="","",G245/$C$5*(1+$C$8)+$E245*(1+$C$7)*$C$6)</f>
        <v/>
      </c>
      <c r="K245" s="27">
        <f>IF(H245="","",H245/$C$5*(1+$C$8)+$E245*(1+$C$7)*$C$6)</f>
        <v/>
      </c>
      <c r="L245" s="27">
        <f>IF(I245="","",I245/$C$5*(1+$C$8)+$E245*(1+$C$7)*$C$6)</f>
        <v/>
      </c>
      <c r="M245" s="28">
        <f>IF(J245="","",ROUND(J245*(1+$C$9),2))</f>
        <v/>
      </c>
      <c r="N245" s="28">
        <f>IF(K245="","",ROUND(K245*(1+$C$9),2))</f>
        <v/>
      </c>
      <c r="O245" s="28">
        <f>IF(L245="","",ROUND(L245*(1+$C$9),2))</f>
        <v/>
      </c>
      <c r="P245" s="29">
        <f>TRIM(IF($B245="NOT ASSIGNED","No NW part no. ","")&amp;IFERROR(IF(INDEX(Conversion!$J$2:$J$500,MATCH($A245,Conversion!$B$2:$B$500,0))="Needs review","Conversion table: needs review. ",""),"")&amp;IF(LEFT($F245,8)="ESTIMATE","Weight estimated. ","")&amp;"")</f>
        <v/>
      </c>
      <c r="R245" s="8" t="n"/>
      <c r="S245" s="28">
        <f>IF(M245="","",ROUND(M245*(1-IF($R245="",$U$6,$R245)),2))</f>
        <v/>
      </c>
      <c r="T245" s="28">
        <f>IF(N245="","",ROUND(N245*(1-IF($R245="",$U$6,$R245)),2))</f>
        <v/>
      </c>
      <c r="U245" s="28">
        <f>IF(O245="","",ROUND(O245*(1-IF($R245="",$U$6,$R245)),2))</f>
        <v/>
      </c>
      <c r="V245" s="27">
        <f>IF(S245="","",S245-J245)</f>
        <v/>
      </c>
      <c r="W245" s="27">
        <f>IF(T245="","",T245-K245)</f>
        <v/>
      </c>
      <c r="X245" s="27">
        <f>IF(U245="","",U245-L245)</f>
        <v/>
      </c>
      <c r="Y245" s="30">
        <f>IF(OR(S245="",S245=0),"",V245/S245)</f>
        <v/>
      </c>
      <c r="Z245" s="30">
        <f>IF(OR(T245="",T245=0),"",W245/T245)</f>
        <v/>
      </c>
      <c r="AA245" s="30">
        <f>IF(OR(U245="",U245=0),"",X245/U245)</f>
        <v/>
      </c>
    </row>
    <row r="246">
      <c r="A246" s="19" t="inlineStr">
        <is>
          <t>RVSW19C24-1C</t>
        </is>
      </c>
      <c r="B246" s="20">
        <f>IFERROR(INDEX(Conversion!$C$2:$C$500,MATCH($A246,Conversion!$B$2:$B$500,0)),"NOT ASSIGNED")</f>
        <v/>
      </c>
      <c r="C246" s="21" t="inlineStr">
        <is>
          <t>St.st. hose tail 19mm x 1" BSP female screw cap with conical seal, 24mm collar</t>
        </is>
      </c>
      <c r="D246" s="22" t="inlineStr">
        <is>
          <t>Hose tail w/ union nut, 19 mm x 1" F, conical seal, 24 mm collar, stainless steel 316</t>
        </is>
      </c>
      <c r="E246" s="31" t="n">
        <v>0.11</v>
      </c>
      <c r="F246" s="24" t="inlineStr">
        <is>
          <t>ESTIMATE - catalogue gives dimensions only (p.68-71)</t>
        </is>
      </c>
      <c r="G246" s="25" t="n">
        <v>30.99932</v>
      </c>
      <c r="H246" s="25" t="n">
        <v>24.799456</v>
      </c>
      <c r="I246" s="25" t="n">
        <v>21.699524</v>
      </c>
      <c r="J246" s="27">
        <f>IF(G246="","",G246/$C$5*(1+$C$8)+$E246*(1+$C$7)*$C$6)</f>
        <v/>
      </c>
      <c r="K246" s="27">
        <f>IF(H246="","",H246/$C$5*(1+$C$8)+$E246*(1+$C$7)*$C$6)</f>
        <v/>
      </c>
      <c r="L246" s="27">
        <f>IF(I246="","",I246/$C$5*(1+$C$8)+$E246*(1+$C$7)*$C$6)</f>
        <v/>
      </c>
      <c r="M246" s="28">
        <f>IF(J246="","",ROUND(J246*(1+$C$9),2))</f>
        <v/>
      </c>
      <c r="N246" s="28">
        <f>IF(K246="","",ROUND(K246*(1+$C$9),2))</f>
        <v/>
      </c>
      <c r="O246" s="28">
        <f>IF(L246="","",ROUND(L246*(1+$C$9),2))</f>
        <v/>
      </c>
      <c r="P246" s="29">
        <f>TRIM(IF($B246="NOT ASSIGNED","No NW part no. ","")&amp;IFERROR(IF(INDEX(Conversion!$J$2:$J$500,MATCH($A246,Conversion!$B$2:$B$500,0))="Needs review","Conversion table: needs review. ",""),"")&amp;IF(LEFT($F246,8)="ESTIMATE","Weight estimated. ","")&amp;"")</f>
        <v/>
      </c>
      <c r="R246" s="8" t="n"/>
      <c r="S246" s="28">
        <f>IF(M246="","",ROUND(M246*(1-IF($R246="",$U$6,$R246)),2))</f>
        <v/>
      </c>
      <c r="T246" s="28">
        <f>IF(N246="","",ROUND(N246*(1-IF($R246="",$U$6,$R246)),2))</f>
        <v/>
      </c>
      <c r="U246" s="28">
        <f>IF(O246="","",ROUND(O246*(1-IF($R246="",$U$6,$R246)),2))</f>
        <v/>
      </c>
      <c r="V246" s="27">
        <f>IF(S246="","",S246-J246)</f>
        <v/>
      </c>
      <c r="W246" s="27">
        <f>IF(T246="","",T246-K246)</f>
        <v/>
      </c>
      <c r="X246" s="27">
        <f>IF(U246="","",U246-L246)</f>
        <v/>
      </c>
      <c r="Y246" s="30">
        <f>IF(OR(S246="",S246=0),"",V246/S246)</f>
        <v/>
      </c>
      <c r="Z246" s="30">
        <f>IF(OR(T246="",T246=0),"",W246/T246)</f>
        <v/>
      </c>
      <c r="AA246" s="30">
        <f>IF(OR(U246="",U246=0),"",X246/U246)</f>
        <v/>
      </c>
    </row>
    <row r="247">
      <c r="A247" s="19" t="inlineStr">
        <is>
          <t>RVSW19C24-1F</t>
        </is>
      </c>
      <c r="B247" s="20">
        <f>IFERROR(INDEX(Conversion!$C$2:$C$500,MATCH($A247,Conversion!$B$2:$B$500,0)),"NOT ASSIGNED")</f>
        <v/>
      </c>
      <c r="C247" s="21" t="inlineStr">
        <is>
          <t>St.st. hose tail 19mm x 1" BSP female screw cap with flat seal, 24mm collar</t>
        </is>
      </c>
      <c r="D247" s="22" t="inlineStr">
        <is>
          <t>Hose tail w/ union nut, 19 mm x 1" F, flat seal, 24 mm collar, stainless steel 316</t>
        </is>
      </c>
      <c r="E247" s="31" t="n">
        <v>0.11</v>
      </c>
      <c r="F247" s="24" t="inlineStr">
        <is>
          <t>ESTIMATE - catalogue gives dimensions only (p.68-71)</t>
        </is>
      </c>
      <c r="G247" s="25" t="n">
        <v>32.1057</v>
      </c>
      <c r="H247" s="25" t="n">
        <v>25.68456</v>
      </c>
      <c r="I247" s="25" t="n">
        <v>22.47399</v>
      </c>
      <c r="J247" s="27">
        <f>IF(G247="","",G247/$C$5*(1+$C$8)+$E247*(1+$C$7)*$C$6)</f>
        <v/>
      </c>
      <c r="K247" s="27">
        <f>IF(H247="","",H247/$C$5*(1+$C$8)+$E247*(1+$C$7)*$C$6)</f>
        <v/>
      </c>
      <c r="L247" s="27">
        <f>IF(I247="","",I247/$C$5*(1+$C$8)+$E247*(1+$C$7)*$C$6)</f>
        <v/>
      </c>
      <c r="M247" s="28">
        <f>IF(J247="","",ROUND(J247*(1+$C$9),2))</f>
        <v/>
      </c>
      <c r="N247" s="28">
        <f>IF(K247="","",ROUND(K247*(1+$C$9),2))</f>
        <v/>
      </c>
      <c r="O247" s="28">
        <f>IF(L247="","",ROUND(L247*(1+$C$9),2))</f>
        <v/>
      </c>
      <c r="P247" s="29">
        <f>TRIM(IF($B247="NOT ASSIGNED","No NW part no. ","")&amp;IFERROR(IF(INDEX(Conversion!$J$2:$J$500,MATCH($A247,Conversion!$B$2:$B$500,0))="Needs review","Conversion table: needs review. ",""),"")&amp;IF(LEFT($F247,8)="ESTIMATE","Weight estimated. ","")&amp;"")</f>
        <v/>
      </c>
      <c r="R247" s="8" t="n"/>
      <c r="S247" s="28">
        <f>IF(M247="","",ROUND(M247*(1-IF($R247="",$U$6,$R247)),2))</f>
        <v/>
      </c>
      <c r="T247" s="28">
        <f>IF(N247="","",ROUND(N247*(1-IF($R247="",$U$6,$R247)),2))</f>
        <v/>
      </c>
      <c r="U247" s="28">
        <f>IF(O247="","",ROUND(O247*(1-IF($R247="",$U$6,$R247)),2))</f>
        <v/>
      </c>
      <c r="V247" s="27">
        <f>IF(S247="","",S247-J247)</f>
        <v/>
      </c>
      <c r="W247" s="27">
        <f>IF(T247="","",T247-K247)</f>
        <v/>
      </c>
      <c r="X247" s="27">
        <f>IF(U247="","",U247-L247)</f>
        <v/>
      </c>
      <c r="Y247" s="30">
        <f>IF(OR(S247="",S247=0),"",V247/S247)</f>
        <v/>
      </c>
      <c r="Z247" s="30">
        <f>IF(OR(T247="",T247=0),"",W247/T247)</f>
        <v/>
      </c>
      <c r="AA247" s="30">
        <f>IF(OR(U247="",U247=0),"",X247/U247)</f>
        <v/>
      </c>
    </row>
    <row r="248">
      <c r="A248" s="19" t="inlineStr">
        <is>
          <t>RVSW25C36-1C</t>
        </is>
      </c>
      <c r="B248" s="20">
        <f>IFERROR(INDEX(Conversion!$C$2:$C$500,MATCH($A248,Conversion!$B$2:$B$500,0)),"NOT ASSIGNED")</f>
        <v/>
      </c>
      <c r="C248" s="21" t="inlineStr">
        <is>
          <t>St.st. hose tail 25mm x 1" BSP female screw cap with conical seal, 36mm collar</t>
        </is>
      </c>
      <c r="D248" s="22" t="inlineStr">
        <is>
          <t>Hose tail w/ union nut, 25 mm x 1" F, conical seal, 36 mm collar, stainless steel 316</t>
        </is>
      </c>
      <c r="E248" s="31" t="n">
        <v>0.13</v>
      </c>
      <c r="F248" s="24" t="inlineStr">
        <is>
          <t>ESTIMATE - catalogue gives dimensions only (p.68-71)</t>
        </is>
      </c>
      <c r="G248" s="25" t="n">
        <v>35.70402</v>
      </c>
      <c r="H248" s="25" t="n">
        <v>28.563216</v>
      </c>
      <c r="I248" s="25" t="n">
        <v>24.992814</v>
      </c>
      <c r="J248" s="27">
        <f>IF(G248="","",G248/$C$5*(1+$C$8)+$E248*(1+$C$7)*$C$6)</f>
        <v/>
      </c>
      <c r="K248" s="27">
        <f>IF(H248="","",H248/$C$5*(1+$C$8)+$E248*(1+$C$7)*$C$6)</f>
        <v/>
      </c>
      <c r="L248" s="27">
        <f>IF(I248="","",I248/$C$5*(1+$C$8)+$E248*(1+$C$7)*$C$6)</f>
        <v/>
      </c>
      <c r="M248" s="28">
        <f>IF(J248="","",ROUND(J248*(1+$C$9),2))</f>
        <v/>
      </c>
      <c r="N248" s="28">
        <f>IF(K248="","",ROUND(K248*(1+$C$9),2))</f>
        <v/>
      </c>
      <c r="O248" s="28">
        <f>IF(L248="","",ROUND(L248*(1+$C$9),2))</f>
        <v/>
      </c>
      <c r="P248" s="29">
        <f>TRIM(IF($B248="NOT ASSIGNED","No NW part no. ","")&amp;IFERROR(IF(INDEX(Conversion!$J$2:$J$500,MATCH($A248,Conversion!$B$2:$B$500,0))="Needs review","Conversion table: needs review. ",""),"")&amp;IF(LEFT($F248,8)="ESTIMATE","Weight estimated. ","")&amp;"")</f>
        <v/>
      </c>
      <c r="R248" s="8" t="n"/>
      <c r="S248" s="28">
        <f>IF(M248="","",ROUND(M248*(1-IF($R248="",$U$6,$R248)),2))</f>
        <v/>
      </c>
      <c r="T248" s="28">
        <f>IF(N248="","",ROUND(N248*(1-IF($R248="",$U$6,$R248)),2))</f>
        <v/>
      </c>
      <c r="U248" s="28">
        <f>IF(O248="","",ROUND(O248*(1-IF($R248="",$U$6,$R248)),2))</f>
        <v/>
      </c>
      <c r="V248" s="27">
        <f>IF(S248="","",S248-J248)</f>
        <v/>
      </c>
      <c r="W248" s="27">
        <f>IF(T248="","",T248-K248)</f>
        <v/>
      </c>
      <c r="X248" s="27">
        <f>IF(U248="","",U248-L248)</f>
        <v/>
      </c>
      <c r="Y248" s="30">
        <f>IF(OR(S248="",S248=0),"",V248/S248)</f>
        <v/>
      </c>
      <c r="Z248" s="30">
        <f>IF(OR(T248="",T248=0),"",W248/T248)</f>
        <v/>
      </c>
      <c r="AA248" s="30">
        <f>IF(OR(U248="",U248=0),"",X248/U248)</f>
        <v/>
      </c>
    </row>
  </sheetData>
  <mergeCells count="6">
    <mergeCell ref="G13:I13"/>
    <mergeCell ref="J13:L13"/>
    <mergeCell ref="Y13:AA13"/>
    <mergeCell ref="M13:O13"/>
    <mergeCell ref="S13:U13"/>
    <mergeCell ref="V13:X13"/>
  </mergeCells>
  <conditionalFormatting sqref="B14:B248">
    <cfRule type="expression" priority="1" dxfId="0">
      <formula>$B14="NOT ASSIGNED"</formula>
    </cfRule>
  </conditionalFormatting>
  <conditionalFormatting sqref="Y14:AA248">
    <cfRule type="expression" priority="2" dxfId="1">
      <formula>AND(ISNUMBER(Y14),Y14&lt;$U$7)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4" t="inlineStr">
        <is>
          <t>Category</t>
        </is>
      </c>
      <c r="B1" s="34" t="inlineStr">
        <is>
          <t>AKBO Part Number</t>
        </is>
      </c>
      <c r="C1" s="34" t="inlineStr">
        <is>
          <t>Our Code</t>
        </is>
      </c>
      <c r="D1" s="34" t="inlineStr">
        <is>
          <t>Product Type</t>
        </is>
      </c>
      <c r="E1" s="34" t="inlineStr">
        <is>
          <t>Size / Dimensions / Connection</t>
        </is>
      </c>
      <c r="F1" s="34" t="inlineStr">
        <is>
          <t>Material</t>
        </is>
      </c>
      <c r="G1" s="34" t="inlineStr">
        <is>
          <t>Variant</t>
        </is>
      </c>
      <c r="H1" s="34" t="inlineStr">
        <is>
          <t>Description</t>
        </is>
      </c>
      <c r="I1" s="34" t="inlineStr">
        <is>
          <t>Source Page</t>
        </is>
      </c>
      <c r="J1" s="34" t="inlineStr">
        <is>
          <t>Status</t>
        </is>
      </c>
      <c r="K1" s="34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5" t="inlineStr">
        <is>
          <t>Washdown / cleaning equipment</t>
        </is>
      </c>
      <c r="B23" s="35" t="inlineStr">
        <is>
          <t>AKMNP01-B-SW12</t>
        </is>
      </c>
      <c r="C23" s="35" t="inlineStr">
        <is>
          <t>WD-MNP01-B-SW12</t>
        </is>
      </c>
      <c r="D23" s="35" t="inlineStr">
        <is>
          <t>Brass cleaning gun (insulated trigger)</t>
        </is>
      </c>
      <c r="E23" s="35" t="inlineStr">
        <is>
          <t>with ball bearing swivel, 1/2" BSP female</t>
        </is>
      </c>
      <c r="F23" s="35" t="inlineStr">
        <is>
          <t>Brass HPb59-3</t>
        </is>
      </c>
      <c r="G23" s="35" t="inlineStr">
        <is>
          <t>with trigger guard and swivel</t>
        </is>
      </c>
      <c r="H23" s="35" t="inlineStr">
        <is>
          <t>Brass cleaning gun (insulated trigger), with ball bearing swivel, 1/2" BSP female, Brass HPb59-3, with trigger guard and swivel</t>
        </is>
      </c>
      <c r="I23" s="35" t="inlineStr">
        <is>
          <t>10 - Brass cleaning guns with insulated trigger.pdf</t>
        </is>
      </c>
      <c r="J23" s="35" t="inlineStr">
        <is>
          <t>Needs review</t>
        </is>
      </c>
      <c r="K23" s="35" t="inlineStr">
        <is>
          <t>Page 2 technical-data table header spells this "AKMP01-B-SW12" (missing N) - likely a table typo, confirm before use</t>
        </is>
      </c>
    </row>
    <row r="24">
      <c r="A24" s="35" t="inlineStr">
        <is>
          <t>Washdown / cleaning equipment</t>
        </is>
      </c>
      <c r="B24" s="35" t="inlineStr">
        <is>
          <t>AKMNP01-B-SW34</t>
        </is>
      </c>
      <c r="C24" s="35" t="inlineStr">
        <is>
          <t>WD-MNP01-B-SW34</t>
        </is>
      </c>
      <c r="D24" s="35" t="inlineStr">
        <is>
          <t>Brass cleaning gun (insulated trigger)</t>
        </is>
      </c>
      <c r="E24" s="35" t="inlineStr">
        <is>
          <t>with ball bearing swivel, 3/4" BSP female</t>
        </is>
      </c>
      <c r="F24" s="35" t="inlineStr">
        <is>
          <t>Brass HPb59-3</t>
        </is>
      </c>
      <c r="G24" s="35" t="inlineStr">
        <is>
          <t>with trigger guard and swivel</t>
        </is>
      </c>
      <c r="H24" s="35" t="inlineStr">
        <is>
          <t>Brass cleaning gun (insulated trigger), with ball bearing swivel, 3/4" BSP female, Brass HPb59-3, with trigger guard and swivel</t>
        </is>
      </c>
      <c r="I24" s="35" t="inlineStr">
        <is>
          <t>10 - Brass cleaning guns with insulated trigger.pdf</t>
        </is>
      </c>
      <c r="J24" s="35" t="inlineStr">
        <is>
          <t>Needs review</t>
        </is>
      </c>
      <c r="K24" s="35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5" t="inlineStr">
        <is>
          <t>Washdown / cleaning equipment</t>
        </is>
      </c>
      <c r="B30" s="35" t="inlineStr">
        <is>
          <t>AKCNP01-W-SW12</t>
        </is>
      </c>
      <c r="C30" s="35" t="inlineStr">
        <is>
          <t>WD-CNP01-W-SW12</t>
        </is>
      </c>
      <c r="D30" s="35" t="inlineStr">
        <is>
          <t>Chrome-plated brass cleaning gun</t>
        </is>
      </c>
      <c r="E30" s="35" t="inlineStr">
        <is>
          <t>with swivel, brochure states 3/4" BSP female</t>
        </is>
      </c>
      <c r="F30" s="35" t="inlineStr">
        <is>
          <t>Brass HPb59-3 + chrome layer</t>
        </is>
      </c>
      <c r="G30" s="35" t="inlineStr">
        <is>
          <t>white, with swivel</t>
        </is>
      </c>
      <c r="H30" s="35" t="inlineStr">
        <is>
          <t>Chrome-plated brass cleaning gun, with swivel, brochure states 3/4" BSP female, Brass HPb59-3 + chrome layer, white, with swivel</t>
        </is>
      </c>
      <c r="I30" s="35" t="inlineStr">
        <is>
          <t>11 - Chrome-plated brass cleaning guns.pdf</t>
        </is>
      </c>
      <c r="J30" s="35" t="inlineStr">
        <is>
          <t>Needs review</t>
        </is>
      </c>
      <c r="K30" s="35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5" t="inlineStr">
        <is>
          <t>Washdown / cleaning equipment</t>
        </is>
      </c>
      <c r="B33" s="35" t="inlineStr">
        <is>
          <t>AKRB001-BL</t>
        </is>
      </c>
      <c r="C33" s="35" t="inlineStr">
        <is>
          <t>WD-RB001-BL</t>
        </is>
      </c>
      <c r="D33" s="35" t="inlineStr">
        <is>
          <t>Stainless steel cleaning gun (AISI 316), high flow</t>
        </is>
      </c>
      <c r="E33" s="35" t="inlineStr">
        <is>
          <t>1/2" BSP female</t>
        </is>
      </c>
      <c r="F33" s="35" t="inlineStr">
        <is>
          <t>Stainless steel AISI 316</t>
        </is>
      </c>
      <c r="G33" s="35" t="inlineStr">
        <is>
          <t>black, high flow</t>
        </is>
      </c>
      <c r="H33" s="35" t="inlineStr">
        <is>
          <t>Stainless steel cleaning gun (AISI 316), high flow, 1/2" BSP female, Stainless steel AISI 316, black, high flow</t>
        </is>
      </c>
      <c r="I33" s="35" t="inlineStr">
        <is>
          <t>12 - Stainless steel cleaning guns (AISI 316).pdf</t>
        </is>
      </c>
      <c r="J33" s="35" t="inlineStr">
        <is>
          <t>Needs review</t>
        </is>
      </c>
      <c r="K33" s="35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5" t="inlineStr">
        <is>
          <t>Washdown / cleaning equipment</t>
        </is>
      </c>
      <c r="B45" s="35" t="inlineStr">
        <is>
          <t>AKNNA02-B</t>
        </is>
      </c>
      <c r="C45" s="35" t="inlineStr">
        <is>
          <t>WD-NNA02-B</t>
        </is>
      </c>
      <c r="D45" s="35" t="inlineStr">
        <is>
          <t>Lightweight cleaning gun</t>
        </is>
      </c>
      <c r="E45" s="35" t="inlineStr">
        <is>
          <t>chrome-plated brass adapter at outlet</t>
        </is>
      </c>
      <c r="F45" s="35" t="inlineStr">
        <is>
          <t>Plastic PA66</t>
        </is>
      </c>
      <c r="G45" s="35" t="n"/>
      <c r="H45" s="35" t="inlineStr">
        <is>
          <t>Lightweight cleaning gun, chrome-plated brass adapter at outlet, Plastic PA66</t>
        </is>
      </c>
      <c r="I45" s="35" t="inlineStr">
        <is>
          <t>13 - Lightweight cleaning gun.pdf</t>
        </is>
      </c>
      <c r="J45" s="35" t="inlineStr">
        <is>
          <t>Needs review</t>
        </is>
      </c>
      <c r="K45" s="35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5" t="inlineStr">
        <is>
          <t>Washdown / cleaning equipment</t>
        </is>
      </c>
      <c r="B51" s="35" t="inlineStr">
        <is>
          <t>AKMBP01-B-SWM14-3/4</t>
        </is>
      </c>
      <c r="C51" s="35" t="inlineStr">
        <is>
          <t>WD-MBP01-B-SWM14-3/4</t>
        </is>
      </c>
      <c r="D51" s="35" t="inlineStr">
        <is>
          <t>High-flow cleaning gun</t>
        </is>
      </c>
      <c r="E51" s="35" t="inlineStr">
        <is>
          <t>with swivel, 3/4" BSP female</t>
        </is>
      </c>
      <c r="F51" s="35" t="inlineStr">
        <is>
          <t>Brass</t>
        </is>
      </c>
      <c r="G51" s="35" t="inlineStr">
        <is>
          <t>with trigger guard and swivel</t>
        </is>
      </c>
      <c r="H51" s="35" t="inlineStr">
        <is>
          <t>High-flow cleaning gun, with swivel, 3/4" BSP female, Brass, with trigger guard and swivel</t>
        </is>
      </c>
      <c r="I51" s="35" t="inlineStr">
        <is>
          <t>16 - High-flow cleaning guns.pdf</t>
        </is>
      </c>
      <c r="J51" s="35" t="inlineStr">
        <is>
          <t>Needs review</t>
        </is>
      </c>
      <c r="K51" s="35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5" t="inlineStr">
        <is>
          <t>Washdown / cleaning equipment</t>
        </is>
      </c>
      <c r="B52" s="35" t="inlineStr">
        <is>
          <t>AKRHP01-R</t>
        </is>
      </c>
      <c r="C52" s="35" t="inlineStr">
        <is>
          <t>WD-RHP01-R</t>
        </is>
      </c>
      <c r="D52" s="35" t="inlineStr">
        <is>
          <t>Hot-water cleaning gun (AISI 316)</t>
        </is>
      </c>
      <c r="E52" s="35" t="inlineStr">
        <is>
          <t>1/2" BSP female</t>
        </is>
      </c>
      <c r="F52" s="35" t="inlineStr">
        <is>
          <t>Stainless steel AISI 316</t>
        </is>
      </c>
      <c r="G52" s="35" t="inlineStr">
        <is>
          <t>red, base model</t>
        </is>
      </c>
      <c r="H52" s="35" t="inlineStr">
        <is>
          <t>Hot-water cleaning gun (AISI 316), 1/2" BSP female, Stainless steel AISI 316, red, base model</t>
        </is>
      </c>
      <c r="I52" s="35" t="inlineStr">
        <is>
          <t>17 - Cleaning guns for hot water in stainless steel (AISI 316).pdf</t>
        </is>
      </c>
      <c r="J52" s="35" t="inlineStr">
        <is>
          <t>Needs review</t>
        </is>
      </c>
      <c r="K52" s="35" t="inlineStr">
        <is>
          <t>Body text calls the base model "AKRHP01-R" but the technical-data table heads its column "AKRHP02-R" - confirm which is correct with AKBO</t>
        </is>
      </c>
    </row>
    <row r="53">
      <c r="A53" s="35" t="inlineStr">
        <is>
          <t>Washdown / cleaning equipment</t>
        </is>
      </c>
      <c r="B53" s="35" t="inlineStr">
        <is>
          <t>AKRHP02-R-L40</t>
        </is>
      </c>
      <c r="C53" s="35" t="inlineStr">
        <is>
          <t>WD-RHP02-R-L40</t>
        </is>
      </c>
      <c r="D53" s="35" t="inlineStr">
        <is>
          <t>Hot-water cleaning gun (AISI 316), lance version</t>
        </is>
      </c>
      <c r="E53" s="35" t="inlineStr">
        <is>
          <t>1/2" BSP female, 40cm lance</t>
        </is>
      </c>
      <c r="F53" s="35" t="inlineStr">
        <is>
          <t>Stainless steel AISI 316</t>
        </is>
      </c>
      <c r="G53" s="35" t="inlineStr">
        <is>
          <t>red, with lance</t>
        </is>
      </c>
      <c r="H53" s="35" t="inlineStr">
        <is>
          <t>Hot-water cleaning gun (AISI 316), lance version, 1/2" BSP female, 40cm lance, Stainless steel AISI 316, red, with lance</t>
        </is>
      </c>
      <c r="I53" s="35" t="inlineStr">
        <is>
          <t>17 - Cleaning guns for hot water in stainless steel (AISI 316).pdf</t>
        </is>
      </c>
      <c r="J53" s="35" t="inlineStr">
        <is>
          <t>Needs review</t>
        </is>
      </c>
      <c r="K53" s="35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5" t="inlineStr">
        <is>
          <t>Washdown / cleaning equipment</t>
        </is>
      </c>
      <c r="B61" s="35" t="inlineStr">
        <is>
          <t>AK53800A1</t>
        </is>
      </c>
      <c r="C61" s="35" t="inlineStr">
        <is>
          <t>WD-53800A1</t>
        </is>
      </c>
      <c r="D61" s="35" t="inlineStr">
        <is>
          <t>NiTO I cleaning gun</t>
        </is>
      </c>
      <c r="E61" s="35" t="inlineStr">
        <is>
          <t>1/2" NiTO quick-connect inlet</t>
        </is>
      </c>
      <c r="F61" s="35" t="inlineStr">
        <is>
          <t>Not stated in catalogue</t>
        </is>
      </c>
      <c r="G61" s="35" t="n"/>
      <c r="H61" s="35" t="inlineStr">
        <is>
          <t>NiTO I cleaning gun, 1/2" NiTO quick-connect inlet, Not stated in catalogue</t>
        </is>
      </c>
      <c r="I61" s="35" t="inlineStr">
        <is>
          <t>25 - NiTO I cleaning gun.pdf</t>
        </is>
      </c>
      <c r="J61" s="35" t="inlineStr">
        <is>
          <t>Needs review</t>
        </is>
      </c>
      <c r="K61" s="35" t="inlineStr">
        <is>
          <t>Material not stated in catalogue - confirm before quoting on material-sensitive jobs</t>
        </is>
      </c>
    </row>
    <row r="62">
      <c r="A62" s="35" t="inlineStr">
        <is>
          <t>Washdown / cleaning equipment</t>
        </is>
      </c>
      <c r="B62" s="35" t="inlineStr">
        <is>
          <t>AK30550A3</t>
        </is>
      </c>
      <c r="C62" s="35" t="inlineStr">
        <is>
          <t>WD-30550A3</t>
        </is>
      </c>
      <c r="D62" s="35" t="inlineStr">
        <is>
          <t>NiTO II cleaning gun</t>
        </is>
      </c>
      <c r="E62" s="35" t="inlineStr">
        <is>
          <t>NiTO quick-connect inlet</t>
        </is>
      </c>
      <c r="F62" s="35" t="inlineStr">
        <is>
          <t>Not stated in catalogue</t>
        </is>
      </c>
      <c r="G62" s="35" t="n"/>
      <c r="H62" s="35" t="inlineStr">
        <is>
          <t>NiTO II cleaning gun, NiTO quick-connect inlet, Not stated in catalogue</t>
        </is>
      </c>
      <c r="I62" s="35" t="inlineStr">
        <is>
          <t>26 - NiTO II cleaning gun.pdf</t>
        </is>
      </c>
      <c r="J62" s="35" t="inlineStr">
        <is>
          <t>Needs review</t>
        </is>
      </c>
      <c r="K62" s="35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5" t="inlineStr">
        <is>
          <t>Washdown / cleaning equipment</t>
        </is>
      </c>
      <c r="B63" s="35" t="inlineStr">
        <is>
          <t>AK40255A3</t>
        </is>
      </c>
      <c r="C63" s="35" t="inlineStr">
        <is>
          <t>WD-40255A3</t>
        </is>
      </c>
      <c r="D63" s="35" t="inlineStr">
        <is>
          <t>NiTO ERGO hot-water gun</t>
        </is>
      </c>
      <c r="E63" s="35" t="inlineStr">
        <is>
          <t>NiTO quick-connect inlet</t>
        </is>
      </c>
      <c r="F63" s="35" t="inlineStr">
        <is>
          <t>Not stated in catalogue</t>
        </is>
      </c>
      <c r="G63" s="35" t="n"/>
      <c r="H63" s="35" t="inlineStr">
        <is>
          <t>NiTO ERGO hot-water gun, NiTO quick-connect inlet, Not stated in catalogue</t>
        </is>
      </c>
      <c r="I63" s="35" t="inlineStr">
        <is>
          <t>27 - NiTO ERGO hot-water gun.pdf</t>
        </is>
      </c>
      <c r="J63" s="35" t="inlineStr">
        <is>
          <t>Needs review</t>
        </is>
      </c>
      <c r="K63" s="35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5" t="inlineStr">
        <is>
          <t>Washdown / cleaning equipment</t>
        </is>
      </c>
      <c r="B71" s="35" t="inlineStr">
        <is>
          <t>BABTLF1-BL</t>
        </is>
      </c>
      <c r="C71" s="35" t="inlineStr">
        <is>
          <t>WD-BABTLF1-BL</t>
        </is>
      </c>
      <c r="D71" s="35" t="inlineStr">
        <is>
          <t>Baby series gun for lance mounting</t>
        </is>
      </c>
      <c r="E71" s="35" t="inlineStr">
        <is>
          <t>1/2" BSP female outlet and inlet</t>
        </is>
      </c>
      <c r="F71" s="35" t="inlineStr">
        <is>
          <t>Aluminium</t>
        </is>
      </c>
      <c r="G71" s="35" t="inlineStr">
        <is>
          <t>black</t>
        </is>
      </c>
      <c r="H71" s="35" t="inlineStr">
        <is>
          <t>Baby series gun for lance mounting, 1/2" BSP female outlet and inlet, Aluminium, black</t>
        </is>
      </c>
      <c r="I71" s="35" t="inlineStr">
        <is>
          <t>31 - Cleaning guns for lance mounting, Baby series.pdf</t>
        </is>
      </c>
      <c r="J71" s="35" t="inlineStr">
        <is>
          <t>Needs review</t>
        </is>
      </c>
      <c r="K71" s="35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5" t="inlineStr">
        <is>
          <t>Washdown / cleaning equipment</t>
        </is>
      </c>
      <c r="B75" s="35" t="inlineStr">
        <is>
          <t>AKMSHHL1-BL</t>
        </is>
      </c>
      <c r="C75" s="35" t="inlineStr">
        <is>
          <t>WD-MSHHL1-BL</t>
        </is>
      </c>
      <c r="D75" s="35" t="inlineStr">
        <is>
          <t>Water-saving spray head</t>
        </is>
      </c>
      <c r="E75" s="35" t="inlineStr">
        <is>
          <t>head only, 1/2" BSPP male</t>
        </is>
      </c>
      <c r="F75" s="35" t="inlineStr">
        <is>
          <t>Brass HPb59-3 and POM</t>
        </is>
      </c>
      <c r="G75" s="35" t="inlineStr">
        <is>
          <t>black, head only</t>
        </is>
      </c>
      <c r="H75" s="35" t="inlineStr">
        <is>
          <t>Water-saving spray head, head only, 1/2" BSPP male, Brass HPb59-3 and POM, black, head only</t>
        </is>
      </c>
      <c r="I75" s="35" t="inlineStr">
        <is>
          <t>44 - Water-saving spray head.pdf</t>
        </is>
      </c>
      <c r="J75" s="35" t="inlineStr">
        <is>
          <t>Needs review</t>
        </is>
      </c>
      <c r="K75" s="35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5" t="inlineStr">
        <is>
          <t>Washdown / cleaning equipment</t>
        </is>
      </c>
      <c r="B76" s="35" t="inlineStr">
        <is>
          <t>AKRSHHL1-BL</t>
        </is>
      </c>
      <c r="C76" s="35" t="inlineStr">
        <is>
          <t>WD-RSHHL1-BL</t>
        </is>
      </c>
      <c r="D76" s="35" t="inlineStr">
        <is>
          <t>Water-saving spray head</t>
        </is>
      </c>
      <c r="E76" s="35" t="inlineStr">
        <is>
          <t>head only, 1/2" BSPP male</t>
        </is>
      </c>
      <c r="F76" s="35" t="inlineStr">
        <is>
          <t>Stainless steel AISI 304 and POM</t>
        </is>
      </c>
      <c r="G76" s="35" t="inlineStr">
        <is>
          <t>black, head only</t>
        </is>
      </c>
      <c r="H76" s="35" t="inlineStr">
        <is>
          <t>Water-saving spray head, head only, 1/2" BSPP male, Stainless steel AISI 304 and POM, black, head only</t>
        </is>
      </c>
      <c r="I76" s="35" t="inlineStr">
        <is>
          <t>44 - Water-saving spray head.pdf</t>
        </is>
      </c>
      <c r="J76" s="35" t="inlineStr">
        <is>
          <t>Needs review</t>
        </is>
      </c>
      <c r="K76" s="35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5" t="inlineStr">
        <is>
          <t>Washdown / cleaning equipment</t>
        </is>
      </c>
      <c r="B83" s="35" t="inlineStr">
        <is>
          <t>AKRSHW3-W</t>
        </is>
      </c>
      <c r="C83" s="35" t="inlineStr">
        <is>
          <t>WD-RSHW3-W</t>
        </is>
      </c>
      <c r="D83" s="35" t="inlineStr">
        <is>
          <t>Robust spray head</t>
        </is>
      </c>
      <c r="E83" s="35" t="inlineStr">
        <is>
          <t>with handle, 1/2" BSP female</t>
        </is>
      </c>
      <c r="F83" s="35" t="inlineStr">
        <is>
          <t>Stainless steel AISI 304 interior, POM housing</t>
        </is>
      </c>
      <c r="G83" s="35" t="inlineStr">
        <is>
          <t>white</t>
        </is>
      </c>
      <c r="H83" s="35" t="inlineStr">
        <is>
          <t>Robust spray head, with handle, 1/2" BSP female, Stainless steel AISI 304 interior, POM housing, white</t>
        </is>
      </c>
      <c r="I83" s="35" t="inlineStr">
        <is>
          <t>45 - Robust spray head.pdf</t>
        </is>
      </c>
      <c r="J83" s="35" t="inlineStr">
        <is>
          <t>Needs review</t>
        </is>
      </c>
      <c r="K83" s="35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6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6" t="n">
        <v>0.84</v>
      </c>
      <c r="C101" s="4" t="inlineStr">
        <is>
          <t>ESTIMATE - not tabulated; taken as AKMB001-BL</t>
        </is>
      </c>
    </row>
    <row r="102">
      <c r="A102" s="4" t="inlineStr">
        <is>
          <t>KLML002-B</t>
        </is>
      </c>
      <c r="B102" s="36" t="n">
        <v>0.84</v>
      </c>
      <c r="C102" s="4" t="inlineStr">
        <is>
          <t>ESTIMATE - not in catalogue; taken as KLMN001 (p.9)</t>
        </is>
      </c>
    </row>
    <row r="103">
      <c r="A103" s="4" t="inlineStr">
        <is>
          <t>AKCL002-B</t>
        </is>
      </c>
      <c r="B103" s="36" t="n">
        <v>0.867</v>
      </c>
      <c r="C103" s="4" t="inlineStr">
        <is>
          <t>ESTIMATE - not in catalogue; taken as AKCN001-B (p.13)</t>
        </is>
      </c>
    </row>
    <row r="104">
      <c r="A104" s="4" t="inlineStr">
        <is>
          <t>AKRL002-B</t>
        </is>
      </c>
      <c r="B104" s="36" t="n">
        <v>0.8129999999999999</v>
      </c>
      <c r="C104" s="4" t="inlineStr">
        <is>
          <t>ESTIMATE - not in catalogue; taken as AKRN001 (p.15)</t>
        </is>
      </c>
    </row>
    <row r="105">
      <c r="A105" s="4" t="inlineStr">
        <is>
          <t>AKNL002-B</t>
        </is>
      </c>
      <c r="B105" s="36" t="n">
        <v>0.48</v>
      </c>
      <c r="C105" s="4" t="inlineStr">
        <is>
          <t>ESTIMATE - not in catalogue; taken as AKNN001-B (p.17)</t>
        </is>
      </c>
    </row>
    <row r="106">
      <c r="A106" s="4" t="inlineStr">
        <is>
          <t>BABTA01-B</t>
        </is>
      </c>
      <c r="B106" s="36" t="n">
        <v>0.365</v>
      </c>
      <c r="C106" s="4" t="inlineStr">
        <is>
          <t>ESTIMATE - not in catalogue; taken as BABTLF1-BL</t>
        </is>
      </c>
    </row>
    <row r="107">
      <c r="A107" s="4" t="inlineStr">
        <is>
          <t>BABTNAA-B</t>
        </is>
      </c>
      <c r="B107" s="36" t="n">
        <v>0.37</v>
      </c>
      <c r="C107" s="4" t="inlineStr">
        <is>
          <t>ESTIMATE - not in catalogue; BABTN01-B + adapters</t>
        </is>
      </c>
    </row>
    <row r="108">
      <c r="A108" s="4" t="inlineStr">
        <is>
          <t>BMBTL01-B</t>
        </is>
      </c>
      <c r="B108" s="36" t="n">
        <v>0.65</v>
      </c>
      <c r="C108" s="4" t="inlineStr">
        <is>
          <t>ESTIMATE - not in catalogue; taken as BMBNN01-B</t>
        </is>
      </c>
    </row>
    <row r="109">
      <c r="A109" s="4" t="inlineStr">
        <is>
          <t>BMBTA01-B</t>
        </is>
      </c>
      <c r="B109" s="36" t="n">
        <v>0.65</v>
      </c>
      <c r="C109" s="4" t="inlineStr">
        <is>
          <t>ESTIMATE - not in catalogue; taken as BMBNN01-B</t>
        </is>
      </c>
    </row>
    <row r="110">
      <c r="A110" s="4" t="inlineStr">
        <is>
          <t>BMBTA02-B-V</t>
        </is>
      </c>
      <c r="B110" s="36" t="n">
        <v>0.65</v>
      </c>
      <c r="C110" s="4" t="inlineStr">
        <is>
          <t>ESTIMATE - not in catalogue; taken as BMBNN01-B</t>
        </is>
      </c>
    </row>
    <row r="111">
      <c r="A111" s="4" t="inlineStr">
        <is>
          <t>AKMSHHL1-BL</t>
        </is>
      </c>
      <c r="B111" s="36" t="n">
        <v>0.21</v>
      </c>
      <c r="C111" s="4" t="inlineStr">
        <is>
          <t>ESTIMATE - AKMSHL1-B 510 g less GRIPML1-B 300 g (p.53/55)</t>
        </is>
      </c>
    </row>
    <row r="112">
      <c r="A112" s="4" t="inlineStr">
        <is>
          <t>AKRSHHL1-BL</t>
        </is>
      </c>
      <c r="B112" s="36" t="n">
        <v>0.21</v>
      </c>
      <c r="C112" s="4" t="inlineStr">
        <is>
          <t>ESTIMATE - AKRSHL1-B 550 g less GRIPRL1-B 340 g (p.53/55)</t>
        </is>
      </c>
    </row>
    <row r="113">
      <c r="A113" s="4" t="inlineStr">
        <is>
          <t>AKWMS01</t>
        </is>
      </c>
      <c r="B113" s="36" t="n">
        <v>0.3</v>
      </c>
      <c r="C113" s="4" t="inlineStr">
        <is>
          <t>ESTIMATE - weight not in catalogue (p.45)</t>
        </is>
      </c>
    </row>
    <row r="114">
      <c r="A114" s="4" t="inlineStr">
        <is>
          <t>AKWMM01</t>
        </is>
      </c>
      <c r="B114" s="36" t="n">
        <v>0.3</v>
      </c>
      <c r="C114" s="4" t="inlineStr">
        <is>
          <t>ESTIMATE - weight not in catalogue (p.45)</t>
        </is>
      </c>
    </row>
    <row r="115">
      <c r="A115" s="4" t="inlineStr">
        <is>
          <t>AKWML01</t>
        </is>
      </c>
      <c r="B115" s="36" t="n">
        <v>0.3</v>
      </c>
      <c r="C115" s="4" t="inlineStr">
        <is>
          <t>ESTIMATE - weight not in catalogue (p.45)</t>
        </is>
      </c>
    </row>
    <row r="116">
      <c r="A116" s="4" t="inlineStr">
        <is>
          <t>AKWMR01</t>
        </is>
      </c>
      <c r="B116" s="36" t="n">
        <v>0.3</v>
      </c>
      <c r="C116" s="4" t="inlineStr">
        <is>
          <t>ESTIMATE - weight not in catalogue (p.45)</t>
        </is>
      </c>
    </row>
    <row r="117">
      <c r="A117" s="4" t="inlineStr">
        <is>
          <t>AKWRS01</t>
        </is>
      </c>
      <c r="B117" s="36" t="n">
        <v>0.3</v>
      </c>
      <c r="C117" s="4" t="inlineStr">
        <is>
          <t>ESTIMATE - weight not in catalogue (p.45)</t>
        </is>
      </c>
    </row>
    <row r="118">
      <c r="A118" s="4" t="inlineStr">
        <is>
          <t>AKWRM01</t>
        </is>
      </c>
      <c r="B118" s="36" t="n">
        <v>0.3</v>
      </c>
      <c r="C118" s="4" t="inlineStr">
        <is>
          <t>ESTIMATE - weight not in catalogue (p.45)</t>
        </is>
      </c>
    </row>
    <row r="119">
      <c r="A119" s="4" t="inlineStr">
        <is>
          <t>AKWRL01</t>
        </is>
      </c>
      <c r="B119" s="36" t="n">
        <v>0.3</v>
      </c>
      <c r="C119" s="4" t="inlineStr">
        <is>
          <t>ESTIMATE - weight not in catalogue (p.45)</t>
        </is>
      </c>
    </row>
    <row r="120">
      <c r="A120" s="4" t="inlineStr">
        <is>
          <t>AKWRR01</t>
        </is>
      </c>
      <c r="B120" s="36" t="n">
        <v>0.3</v>
      </c>
      <c r="C120" s="4" t="inlineStr">
        <is>
          <t>ESTIMATE - weight not in catalogue (p.45)</t>
        </is>
      </c>
    </row>
    <row r="121">
      <c r="A121" s="4" t="inlineStr">
        <is>
          <t>BWNM045</t>
        </is>
      </c>
      <c r="B121" s="36" t="n">
        <v>0.25</v>
      </c>
      <c r="C121" s="4" t="inlineStr">
        <is>
          <t>ESTIMATE - weight not in catalogue (p.46)</t>
        </is>
      </c>
    </row>
    <row r="122">
      <c r="A122" s="4" t="inlineStr">
        <is>
          <t>AKKS003-B-19</t>
        </is>
      </c>
      <c r="B122" s="36" t="n">
        <v>0.3</v>
      </c>
      <c r="C122" s="4" t="inlineStr">
        <is>
          <t>ESTIMATE - 260 g shower (p.26) + MESC019 hose tail est.</t>
        </is>
      </c>
    </row>
    <row r="123">
      <c r="A123" s="4" t="inlineStr">
        <is>
          <t>AKKS003-W-19</t>
        </is>
      </c>
      <c r="B123" s="36" t="n">
        <v>0.3</v>
      </c>
      <c r="C123" s="4" t="inlineStr">
        <is>
          <t>ESTIMATE - 260 g shower (p.26) + MESC019 hose tail est.</t>
        </is>
      </c>
    </row>
    <row r="124">
      <c r="A124" s="4" t="inlineStr">
        <is>
          <t>BALR001-B</t>
        </is>
      </c>
      <c r="B124" s="36" t="n">
        <v>0.4</v>
      </c>
      <c r="C124" s="4" t="inlineStr">
        <is>
          <t>ESTIMATE - weight not in catalogue (p.38)</t>
        </is>
      </c>
    </row>
    <row r="125">
      <c r="A125" s="4" t="inlineStr">
        <is>
          <t>BALRCP1-B</t>
        </is>
      </c>
      <c r="B125" s="36" t="n">
        <v>0.55</v>
      </c>
      <c r="C125" s="4" t="inlineStr">
        <is>
          <t>ESTIMATE - weight not in catalogue (p.38)</t>
        </is>
      </c>
    </row>
    <row r="126">
      <c r="A126" s="4" t="inlineStr">
        <is>
          <t>BALRCP1-NB</t>
        </is>
      </c>
      <c r="B126" s="36" t="n">
        <v>0.55</v>
      </c>
      <c r="C126" s="4" t="inlineStr">
        <is>
          <t>ESTIMATE - weight not in catalogue (p.38)</t>
        </is>
      </c>
    </row>
    <row r="127">
      <c r="A127" s="4" t="inlineStr">
        <is>
          <t>BARRCP2-B</t>
        </is>
      </c>
      <c r="B127" s="36" t="n">
        <v>0.6</v>
      </c>
      <c r="C127" s="4" t="inlineStr">
        <is>
          <t>ESTIMATE - weight not in catalogue (p.38)</t>
        </is>
      </c>
    </row>
    <row r="128">
      <c r="A128" s="4" t="inlineStr">
        <is>
          <t>SWM09-12</t>
        </is>
      </c>
      <c r="B128" s="36" t="n">
        <v>0.09</v>
      </c>
      <c r="C128" s="4" t="inlineStr">
        <is>
          <t>ESTIMATE - catalogue gives dimensions only (p.68-71)</t>
        </is>
      </c>
    </row>
    <row r="129">
      <c r="A129" s="4" t="inlineStr">
        <is>
          <t>SWM09-34</t>
        </is>
      </c>
      <c r="B129" s="36" t="n">
        <v>0.1</v>
      </c>
      <c r="C129" s="4" t="inlineStr">
        <is>
          <t>ESTIMATE - catalogue gives dimensions only (p.68-71)</t>
        </is>
      </c>
    </row>
    <row r="130">
      <c r="A130" s="4" t="inlineStr">
        <is>
          <t>SWM14-34</t>
        </is>
      </c>
      <c r="B130" s="36" t="n">
        <v>0.13</v>
      </c>
      <c r="C130" s="4" t="inlineStr">
        <is>
          <t>ESTIMATE - catalogue gives dimensions only (p.68-71)</t>
        </is>
      </c>
    </row>
    <row r="131">
      <c r="A131" s="4" t="inlineStr">
        <is>
          <t>SWM14-34X34</t>
        </is>
      </c>
      <c r="B131" s="36" t="n">
        <v>0.15</v>
      </c>
      <c r="C131" s="4" t="inlineStr">
        <is>
          <t>ESTIMATE - catalogue gives dimensions only (p.68-71)</t>
        </is>
      </c>
    </row>
    <row r="132">
      <c r="A132" s="4" t="inlineStr">
        <is>
          <t>SWM18-1X1</t>
        </is>
      </c>
      <c r="B132" s="36" t="n">
        <v>0.25</v>
      </c>
      <c r="C132" s="4" t="inlineStr">
        <is>
          <t>ESTIMATE - catalogue gives dimensions only (p.68-71)</t>
        </is>
      </c>
    </row>
    <row r="133">
      <c r="A133" s="4" t="inlineStr">
        <is>
          <t>SWM09-12MX12M</t>
        </is>
      </c>
      <c r="B133" s="36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SWM09-12MX34M</t>
        </is>
      </c>
      <c r="B134" s="36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SWC09-12</t>
        </is>
      </c>
      <c r="B135" s="36" t="n">
        <v>0.09</v>
      </c>
      <c r="C135" s="4" t="inlineStr">
        <is>
          <t>ESTIMATE - catalogue gives dimensions only (p.68-71)</t>
        </is>
      </c>
    </row>
    <row r="136">
      <c r="A136" s="4" t="inlineStr">
        <is>
          <t>SWC09-34</t>
        </is>
      </c>
      <c r="B136" s="36" t="n">
        <v>0.1</v>
      </c>
      <c r="C136" s="4" t="inlineStr">
        <is>
          <t>ESTIMATE - catalogue gives dimensions only (p.68-71)</t>
        </is>
      </c>
    </row>
    <row r="137">
      <c r="A137" s="4" t="inlineStr">
        <is>
          <t>SWR09-12</t>
        </is>
      </c>
      <c r="B137" s="36" t="n">
        <v>0.09</v>
      </c>
      <c r="C137" s="4" t="inlineStr">
        <is>
          <t>ESTIMATE - catalogue gives dimensions only (p.68-71)</t>
        </is>
      </c>
    </row>
    <row r="138">
      <c r="A138" s="4" t="inlineStr">
        <is>
          <t>SWR09-34</t>
        </is>
      </c>
      <c r="B138" s="36" t="n">
        <v>0.1</v>
      </c>
      <c r="C138" s="4" t="inlineStr">
        <is>
          <t>ESTIMATE - catalogue gives dimensions only (p.68-71)</t>
        </is>
      </c>
    </row>
    <row r="139">
      <c r="A139" s="4" t="inlineStr">
        <is>
          <t>SWR14-34</t>
        </is>
      </c>
      <c r="B139" s="36" t="n">
        <v>0.13</v>
      </c>
      <c r="C139" s="4" t="inlineStr">
        <is>
          <t>ESTIMATE - catalogue gives dimensions only (p.68-71)</t>
        </is>
      </c>
    </row>
    <row r="140">
      <c r="A140" s="4" t="inlineStr">
        <is>
          <t>SWR14-34X34</t>
        </is>
      </c>
      <c r="B140" s="36" t="n">
        <v>0.15</v>
      </c>
      <c r="C140" s="4" t="inlineStr">
        <is>
          <t>ESTIMATE - catalogue gives dimensions only (p.68-71)</t>
        </is>
      </c>
    </row>
    <row r="141">
      <c r="A141" s="4" t="inlineStr">
        <is>
          <t>SWR18-1X1</t>
        </is>
      </c>
      <c r="B141" s="36" t="n">
        <v>0.25</v>
      </c>
      <c r="C141" s="4" t="inlineStr">
        <is>
          <t>ESTIMATE - catalogue gives dimensions only (p.68-71)</t>
        </is>
      </c>
    </row>
    <row r="142">
      <c r="A142" s="4" t="inlineStr">
        <is>
          <t>SWR09-12Mx12M</t>
        </is>
      </c>
      <c r="B142" s="36" t="n">
        <v>0.09</v>
      </c>
      <c r="C142" s="4" t="inlineStr">
        <is>
          <t>ESTIMATE - catalogue gives dimensions only (p.68-71)</t>
        </is>
      </c>
    </row>
    <row r="143">
      <c r="A143" s="4" t="inlineStr">
        <is>
          <t>SWR09-12MX34M</t>
        </is>
      </c>
      <c r="B143" s="36" t="n">
        <v>0.1</v>
      </c>
      <c r="C143" s="4" t="inlineStr">
        <is>
          <t>ESTIMATE - catalogue gives dimensions only (p.68-71)</t>
        </is>
      </c>
    </row>
    <row r="144">
      <c r="A144" s="4" t="inlineStr">
        <is>
          <t>SWIFM1/2</t>
        </is>
      </c>
      <c r="B144" s="36" t="n">
        <v>0.06</v>
      </c>
      <c r="C144" s="4" t="inlineStr">
        <is>
          <t>ESTIMATE - catalogue gives dimensions only (p.68-71)</t>
        </is>
      </c>
    </row>
    <row r="145">
      <c r="A145" s="4" t="inlineStr">
        <is>
          <t>SWIFR1/2</t>
        </is>
      </c>
      <c r="B145" s="36" t="n">
        <v>0.06</v>
      </c>
      <c r="C145" s="4" t="inlineStr">
        <is>
          <t>ESTIMATE - catalogue gives dimensions only (p.68-71)</t>
        </is>
      </c>
    </row>
    <row r="146">
      <c r="A146" s="4" t="inlineStr">
        <is>
          <t>SWIFB10</t>
        </is>
      </c>
      <c r="B146" s="36" t="n">
        <v>0.08</v>
      </c>
      <c r="C146" s="4" t="inlineStr">
        <is>
          <t>ESTIMATE - catalogue gives dimensions only (p.68-71)</t>
        </is>
      </c>
    </row>
    <row r="147">
      <c r="A147" s="4" t="inlineStr">
        <is>
          <t>SWIFB13-C17</t>
        </is>
      </c>
      <c r="B147" s="36" t="n">
        <v>0.09</v>
      </c>
      <c r="C147" s="4" t="inlineStr">
        <is>
          <t>ESTIMATE - catalogue gives dimensions only (p.68-71)</t>
        </is>
      </c>
    </row>
    <row r="148">
      <c r="A148" s="4" t="inlineStr">
        <is>
          <t>SWIFB13-C17-SP</t>
        </is>
      </c>
      <c r="B148" s="36" t="n">
        <v>0.13</v>
      </c>
      <c r="C148" s="4" t="inlineStr">
        <is>
          <t>ESTIMATE - catalogue gives dimensions only (p.68-71)</t>
        </is>
      </c>
    </row>
    <row r="149">
      <c r="A149" s="4" t="inlineStr">
        <is>
          <t>SWIFB13-C20</t>
        </is>
      </c>
      <c r="B149" s="36" t="n">
        <v>0.09</v>
      </c>
      <c r="C149" s="4" t="inlineStr">
        <is>
          <t>ESTIMATE - catalogue gives dimensions only (p.68-71)</t>
        </is>
      </c>
    </row>
    <row r="150">
      <c r="A150" s="4" t="inlineStr">
        <is>
          <t>SWIFB13-C20-SP</t>
        </is>
      </c>
      <c r="B150" s="36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SWIFB16-C21</t>
        </is>
      </c>
      <c r="B151" s="36" t="n">
        <v>0.1</v>
      </c>
      <c r="C151" s="4" t="inlineStr">
        <is>
          <t>ESTIMATE - catalogue gives dimensions only (p.68-71)</t>
        </is>
      </c>
    </row>
    <row r="152">
      <c r="A152" s="4" t="inlineStr">
        <is>
          <t>SWIFB16-C21-SP</t>
        </is>
      </c>
      <c r="B152" s="36" t="n">
        <v>0.14</v>
      </c>
      <c r="C152" s="4" t="inlineStr">
        <is>
          <t>ESTIMATE - catalogue gives dimensions only (p.68-71)</t>
        </is>
      </c>
    </row>
    <row r="153">
      <c r="A153" s="4" t="inlineStr">
        <is>
          <t>SWIFB19-C24</t>
        </is>
      </c>
      <c r="B153" s="36" t="n">
        <v>0.12</v>
      </c>
      <c r="C153" s="4" t="inlineStr">
        <is>
          <t>ESTIMATE - catalogue gives dimensions only (p.68-71)</t>
        </is>
      </c>
    </row>
    <row r="154">
      <c r="A154" s="4" t="inlineStr">
        <is>
          <t>SWIFB19-C24-34</t>
        </is>
      </c>
      <c r="B154" s="36" t="n">
        <v>0.13</v>
      </c>
      <c r="C154" s="4" t="inlineStr">
        <is>
          <t>ESTIMATE - catalogue gives dimensions only (p.68-71)</t>
        </is>
      </c>
    </row>
    <row r="155">
      <c r="A155" s="4" t="inlineStr">
        <is>
          <t>SWIFB19-C24-34S</t>
        </is>
      </c>
      <c r="B155" s="36" t="n">
        <v>0.17</v>
      </c>
      <c r="C155" s="4" t="inlineStr">
        <is>
          <t>ESTIMATE - catalogue gives dimensions only (p.68-71)</t>
        </is>
      </c>
    </row>
    <row r="156">
      <c r="A156" s="4" t="inlineStr">
        <is>
          <t>SWIFB19-C24-SP</t>
        </is>
      </c>
      <c r="B156" s="36" t="n">
        <v>0.16</v>
      </c>
      <c r="C156" s="4" t="inlineStr">
        <is>
          <t>ESTIMATE - catalogue gives dimensions only (p.68-71)</t>
        </is>
      </c>
    </row>
    <row r="157">
      <c r="A157" s="4" t="inlineStr">
        <is>
          <t>MESS013</t>
        </is>
      </c>
      <c r="B157" s="36" t="n">
        <v>0.03</v>
      </c>
      <c r="C157" s="4" t="inlineStr">
        <is>
          <t>ESTIMATE - catalogue gives dimensions only (p.68-71)</t>
        </is>
      </c>
    </row>
    <row r="158">
      <c r="A158" s="4" t="inlineStr">
        <is>
          <t>MESS019</t>
        </is>
      </c>
      <c r="B158" s="36" t="n">
        <v>0.04</v>
      </c>
      <c r="C158" s="4" t="inlineStr">
        <is>
          <t>ESTIMATE - catalogue gives dimensions only (p.68-71)</t>
        </is>
      </c>
    </row>
    <row r="159">
      <c r="A159" s="4" t="inlineStr">
        <is>
          <t>MESS025</t>
        </is>
      </c>
      <c r="B159" s="36" t="n">
        <v>0.06</v>
      </c>
      <c r="C159" s="4" t="inlineStr">
        <is>
          <t>ESTIMATE - catalogue gives dimensions only (p.68-71)</t>
        </is>
      </c>
    </row>
    <row r="160">
      <c r="A160" s="4" t="inlineStr">
        <is>
          <t>MESC013</t>
        </is>
      </c>
      <c r="B160" s="36" t="n">
        <v>0.035</v>
      </c>
      <c r="C160" s="4" t="inlineStr">
        <is>
          <t>ESTIMATE - catalogue gives dimensions only (p.68-71)</t>
        </is>
      </c>
    </row>
    <row r="161">
      <c r="A161" s="4" t="inlineStr">
        <is>
          <t>MESC016</t>
        </is>
      </c>
      <c r="B161" s="36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MESC019</t>
        </is>
      </c>
      <c r="B162" s="36" t="n">
        <v>0.045</v>
      </c>
      <c r="C162" s="4" t="inlineStr">
        <is>
          <t>ESTIMATE - catalogue gives dimensions only (p.68-71)</t>
        </is>
      </c>
    </row>
    <row r="163">
      <c r="A163" s="4" t="inlineStr">
        <is>
          <t>RVST013-C17</t>
        </is>
      </c>
      <c r="B163" s="36" t="n">
        <v>0.04</v>
      </c>
      <c r="C163" s="4" t="inlineStr">
        <is>
          <t>ESTIMATE - catalogue gives dimensions only (p.68-71)</t>
        </is>
      </c>
    </row>
    <row r="164">
      <c r="A164" s="4" t="inlineStr">
        <is>
          <t>RVST013-C17-SP</t>
        </is>
      </c>
      <c r="B164" s="36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RVST013-C20</t>
        </is>
      </c>
      <c r="B165" s="36" t="n">
        <v>0.04</v>
      </c>
      <c r="C165" s="4" t="inlineStr">
        <is>
          <t>ESTIMATE - catalogue gives dimensions only (p.68-71)</t>
        </is>
      </c>
    </row>
    <row r="166">
      <c r="A166" s="4" t="inlineStr">
        <is>
          <t>RVST013-C20-12F</t>
        </is>
      </c>
      <c r="B166" s="36" t="n">
        <v>0.05</v>
      </c>
      <c r="C166" s="4" t="inlineStr">
        <is>
          <t>ESTIMATE - catalogue gives dimensions only (p.68-71)</t>
        </is>
      </c>
    </row>
    <row r="167">
      <c r="A167" s="4" t="inlineStr">
        <is>
          <t>RVST013-C20-34F</t>
        </is>
      </c>
      <c r="B167" s="36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RVST013-C20-SP</t>
        </is>
      </c>
      <c r="B168" s="36" t="n">
        <v>0.08</v>
      </c>
      <c r="C168" s="4" t="inlineStr">
        <is>
          <t>ESTIMATE - catalogue gives dimensions only (p.68-71)</t>
        </is>
      </c>
    </row>
    <row r="169">
      <c r="A169" s="4" t="inlineStr">
        <is>
          <t>RVST016-C21</t>
        </is>
      </c>
      <c r="B169" s="36" t="n">
        <v>0.05</v>
      </c>
      <c r="C169" s="4" t="inlineStr">
        <is>
          <t>ESTIMATE - catalogue gives dimensions only (p.68-71)</t>
        </is>
      </c>
    </row>
    <row r="170">
      <c r="A170" s="4" t="inlineStr">
        <is>
          <t>RVST016-C21-SP</t>
        </is>
      </c>
      <c r="B170" s="36" t="n">
        <v>0.09</v>
      </c>
      <c r="C170" s="4" t="inlineStr">
        <is>
          <t>ESTIMATE - catalogue gives dimensions only (p.68-71)</t>
        </is>
      </c>
    </row>
    <row r="171">
      <c r="A171" s="4" t="inlineStr">
        <is>
          <t>RVST019-C24</t>
        </is>
      </c>
      <c r="B171" s="36" t="n">
        <v>0.06</v>
      </c>
      <c r="C171" s="4" t="inlineStr">
        <is>
          <t>ESTIMATE - catalogue gives dimensions only (p.68-71)</t>
        </is>
      </c>
    </row>
    <row r="172">
      <c r="A172" s="4" t="inlineStr">
        <is>
          <t>RVST019-C24-SP</t>
        </is>
      </c>
      <c r="B172" s="36" t="n">
        <v>0.1</v>
      </c>
      <c r="C172" s="4" t="inlineStr">
        <is>
          <t>ESTIMATE - catalogue gives dimensions only (p.68-71)</t>
        </is>
      </c>
    </row>
    <row r="173">
      <c r="A173" s="4" t="inlineStr">
        <is>
          <t>RVST025</t>
        </is>
      </c>
      <c r="B173" s="36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RVSW13C17-12C</t>
        </is>
      </c>
      <c r="B174" s="36" t="n">
        <v>0.06</v>
      </c>
      <c r="C174" s="4" t="inlineStr">
        <is>
          <t>ESTIMATE - catalogue gives dimensions only (p.68-71)</t>
        </is>
      </c>
    </row>
    <row r="175">
      <c r="A175" s="4" t="inlineStr">
        <is>
          <t>RVSW13C17-34F</t>
        </is>
      </c>
      <c r="B175" s="36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RVSW13C20-12C</t>
        </is>
      </c>
      <c r="B176" s="36" t="n">
        <v>0.06</v>
      </c>
      <c r="C176" s="4" t="inlineStr">
        <is>
          <t>ESTIMATE - catalogue gives dimensions only (p.68-71)</t>
        </is>
      </c>
    </row>
    <row r="177">
      <c r="A177" s="4" t="inlineStr">
        <is>
          <t>RVSW13C20-12F</t>
        </is>
      </c>
      <c r="B177" s="36" t="n">
        <v>0.06</v>
      </c>
      <c r="C177" s="4" t="inlineStr">
        <is>
          <t>ESTIMATE - catalogue gives dimensions only (p.68-71)</t>
        </is>
      </c>
    </row>
    <row r="178">
      <c r="A178" s="4" t="inlineStr">
        <is>
          <t>RVSW13C20-12FS</t>
        </is>
      </c>
      <c r="B178" s="36" t="n">
        <v>0.1</v>
      </c>
      <c r="C178" s="4" t="inlineStr">
        <is>
          <t>ESTIMATE - catalogue gives dimensions only (p.68-71)</t>
        </is>
      </c>
    </row>
    <row r="179">
      <c r="A179" s="4" t="inlineStr">
        <is>
          <t>RVSW13C20-34F</t>
        </is>
      </c>
      <c r="B179" s="36" t="n">
        <v>0.07000000000000001</v>
      </c>
      <c r="C179" s="4" t="inlineStr">
        <is>
          <t>ESTIMATE - catalogue gives dimensions only (p.68-71)</t>
        </is>
      </c>
    </row>
    <row r="180">
      <c r="A180" s="4" t="inlineStr">
        <is>
          <t>RVSW16C21-12C</t>
        </is>
      </c>
      <c r="B180" s="36" t="n">
        <v>0.07000000000000001</v>
      </c>
      <c r="C180" s="4" t="inlineStr">
        <is>
          <t>ESTIMATE - catalogue gives dimensions only (p.68-71)</t>
        </is>
      </c>
    </row>
    <row r="181">
      <c r="A181" s="4" t="inlineStr">
        <is>
          <t>RVSW16C21-12CS</t>
        </is>
      </c>
      <c r="B181" s="36" t="n">
        <v>0.11</v>
      </c>
      <c r="C181" s="4" t="inlineStr">
        <is>
          <t>ESTIMATE - catalogue gives dimensions only (p.68-71)</t>
        </is>
      </c>
    </row>
    <row r="182">
      <c r="A182" s="4" t="inlineStr">
        <is>
          <t>RVSW16C21-12F</t>
        </is>
      </c>
      <c r="B182" s="36" t="n">
        <v>0.07000000000000001</v>
      </c>
      <c r="C182" s="4" t="inlineStr">
        <is>
          <t>ESTIMATE - catalogue gives dimensions only (p.68-71)</t>
        </is>
      </c>
    </row>
    <row r="183">
      <c r="A183" s="4" t="inlineStr">
        <is>
          <t>RVSW16C21-34F</t>
        </is>
      </c>
      <c r="B183" s="36" t="n">
        <v>0.08</v>
      </c>
      <c r="C183" s="4" t="inlineStr">
        <is>
          <t>ESTIMATE - catalogue gives dimensions only (p.68-71)</t>
        </is>
      </c>
    </row>
    <row r="184">
      <c r="A184" s="4" t="inlineStr">
        <is>
          <t>RVSW19C24-34C</t>
        </is>
      </c>
      <c r="B184" s="36" t="n">
        <v>0.09</v>
      </c>
      <c r="C184" s="4" t="inlineStr">
        <is>
          <t>ESTIMATE - catalogue gives dimensions only (p.68-71)</t>
        </is>
      </c>
    </row>
    <row r="185">
      <c r="A185" s="4" t="inlineStr">
        <is>
          <t>RVSW19C24-34F</t>
        </is>
      </c>
      <c r="B185" s="36" t="n">
        <v>0.09</v>
      </c>
      <c r="C185" s="4" t="inlineStr">
        <is>
          <t>ESTIMATE - catalogue gives dimensions only (p.68-71)</t>
        </is>
      </c>
    </row>
    <row r="186">
      <c r="A186" s="4" t="inlineStr">
        <is>
          <t>RVSW19C24-1C</t>
        </is>
      </c>
      <c r="B186" s="36" t="n">
        <v>0.11</v>
      </c>
      <c r="C186" s="4" t="inlineStr">
        <is>
          <t>ESTIMATE - catalogue gives dimensions only (p.68-71)</t>
        </is>
      </c>
    </row>
    <row r="187">
      <c r="A187" s="4" t="inlineStr">
        <is>
          <t>RVSW19C24-1F</t>
        </is>
      </c>
      <c r="B187" s="36" t="n">
        <v>0.11</v>
      </c>
      <c r="C187" s="4" t="inlineStr">
        <is>
          <t>ESTIMATE - catalogue gives dimensions only (p.68-71)</t>
        </is>
      </c>
    </row>
    <row r="188">
      <c r="A188" s="4" t="inlineStr">
        <is>
          <t>RVSW25C36-1C</t>
        </is>
      </c>
      <c r="B188" s="36" t="n">
        <v>0.13</v>
      </c>
      <c r="C188" s="4" t="inlineStr">
        <is>
          <t>ESTIMATE - catalogue gives dimensions only (p.68-71)</t>
        </is>
      </c>
    </row>
    <row r="190">
      <c r="A190" s="3" t="inlineStr">
        <is>
          <t>3. Part-number / data queries</t>
        </is>
      </c>
    </row>
    <row r="191">
      <c r="A191" s="4" t="inlineStr">
        <is>
          <t>BRFTP03-B-PRIN</t>
        </is>
      </c>
      <c r="C191" s="4" t="inlineStr">
        <is>
          <t>Pricelist code BRFTP03 vs catalogue/conversion BRFTP13 - confirm with AKBO.</t>
        </is>
      </c>
    </row>
    <row r="192">
      <c r="A192" s="4" t="inlineStr">
        <is>
          <t>AKR001-B</t>
        </is>
      </c>
      <c r="C192" s="4" t="inlineStr">
        <is>
          <t>Catalogue code is AKRS001-B - confirm with AKBO.</t>
        </is>
      </c>
    </row>
    <row r="193">
      <c r="A193" s="4" t="inlineStr">
        <is>
          <t>AKMBP01-BL</t>
        </is>
      </c>
      <c r="C193" s="4" t="inlineStr">
        <is>
          <t>Catalogue only lists AKMBP01-B-SWM14-3/4 (with swivel) - confirm model.</t>
        </is>
      </c>
    </row>
    <row r="194">
      <c r="A194" s="4" t="inlineStr">
        <is>
          <t>AKRB001-BL</t>
        </is>
      </c>
      <c r="C194" s="4" t="inlineStr">
        <is>
          <t>Not in Classic High-Flow brochure (brass only) - series name to confirm.</t>
        </is>
      </c>
    </row>
    <row r="195">
      <c r="A195" s="4" t="inlineStr">
        <is>
          <t>AKRB001-BL</t>
        </is>
      </c>
      <c r="C195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6">
      <c r="A196" s="4" t="inlineStr">
        <is>
          <t>AKRHP01-R</t>
        </is>
      </c>
      <c r="C196" s="4" t="inlineStr">
        <is>
          <t>Conversion table: Body text calls the base model "AKRHP01-R" but the technical-data table heads its column "AKRHP02-R" - confirm which is correct with AKBO</t>
        </is>
      </c>
    </row>
    <row r="197">
      <c r="A197" s="4" t="inlineStr">
        <is>
          <t>AKRHP02-R-L40</t>
        </is>
      </c>
      <c r="C197" s="4" t="inlineStr">
        <is>
          <t>Conversion table: Table heading drops the "-R-" and reads "AKRHP02-L40" - confirm exact number with AKBO</t>
        </is>
      </c>
    </row>
    <row r="198">
      <c r="A198" s="4" t="inlineStr">
        <is>
          <t>BABTLF1-BL</t>
        </is>
      </c>
      <c r="C198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9">
      <c r="A199" s="4" t="inlineStr">
        <is>
          <t>AKMSHHL1-BL</t>
        </is>
      </c>
      <c r="C199" s="4" t="inlineStr">
        <is>
          <t>Conversion table: Technical-data table only lists dimensions/weight for the with-handle assemblies (AKMSHL1-B/AKRSHL1-B) - head-only weight not separately tabulated on this page</t>
        </is>
      </c>
    </row>
    <row r="200">
      <c r="A200" s="4" t="inlineStr">
        <is>
          <t>AKRSHHL1-BL</t>
        </is>
      </c>
      <c r="C200" s="4" t="inlineStr">
        <is>
          <t>Conversion table: Technical-data table only lists dimensions/weight for the with-handle assemblies - head-only weight not separately tabulated on this page</t>
        </is>
      </c>
    </row>
    <row r="201">
      <c r="A201" s="4" t="inlineStr">
        <is>
          <t>AKRSHW3-W</t>
        </is>
      </c>
      <c r="C201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202">
      <c r="A202" s="4" t="inlineStr">
        <is>
          <t>AGIL572 / AKAWLU1-B</t>
        </is>
      </c>
      <c r="C202" s="4" t="inlineStr">
        <is>
          <t>AKBO give one price plus a pack-qty offer (48 pcs EUR 9.87 / 20 pcs EUR 66.81) - priced at the first break, offer kept as a note.</t>
        </is>
      </c>
    </row>
    <row r="203">
      <c r="A203" s="4" t="inlineStr">
        <is>
          <t>Heavy duty spray guns</t>
        </is>
      </c>
      <c r="C203" s="4" t="inlineStr">
        <is>
          <t>AKBO give no &gt;=50 pcs price for most guns - left blank.</t>
        </is>
      </c>
    </row>
    <row r="205">
      <c r="A205" s="3" t="inlineStr">
        <is>
          <t>4. AKBO items left off the pricelist (not sold by Nozzleworks)</t>
        </is>
      </c>
    </row>
    <row r="206">
      <c r="A206" s="4" t="inlineStr">
        <is>
          <t>AKMNP01-B-SW12</t>
        </is>
      </c>
      <c r="B206" s="4" t="inlineStr">
        <is>
          <t>Brass water gun, with trigger protection, ball bearing swivel input 1/2"F, blue</t>
        </is>
      </c>
      <c r="C206" s="4" t="inlineStr">
        <is>
          <t>Swivel variant - not sold (removed from v3 brochures).</t>
        </is>
      </c>
    </row>
    <row r="207">
      <c r="A207" s="4" t="inlineStr">
        <is>
          <t>AKMNP01-B-SW34</t>
        </is>
      </c>
      <c r="B207" s="4" t="inlineStr">
        <is>
          <t>Brass water gun, with trigger protection, ball bearing swivel input 3/4"F, blue</t>
        </is>
      </c>
      <c r="C207" s="4" t="inlineStr">
        <is>
          <t>Swivel variant - not sold (removed from v3 brochures).</t>
        </is>
      </c>
    </row>
  </sheetData>
  <conditionalFormatting sqref="C5:C95">
    <cfRule type="expression" priority="1" dxfId="2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2026-10-06T20:38:33Z</dcterms:created>
  <dcterms:modified xsi:type="dcterms:W3CDTF">2026-10-06T20:38:33Z</dcterms:modified>
</cp:coreProperties>
</file>