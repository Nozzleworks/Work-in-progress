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  <numFmt numFmtId="169" formatCode="0.0%;[Red]-0.0%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8" fontId="5" fillId="2" borderId="1" pivotButton="0" quotePrefix="0" xfId="0"/>
    <xf numFmtId="169" fontId="4" fillId="0" borderId="1" pivotButton="0" quotePrefix="0" xfId="0"/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248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  <col width="3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  <c r="R4" s="3" t="inlineStr">
        <is>
          <t>WORKING SECTION - type a list price and discount (yellow); net price and GP % calculate.</t>
        </is>
      </c>
    </row>
    <row r="5">
      <c r="A5" s="4" t="inlineStr">
        <is>
          <t>Exchange rate (EUR per 1 NZD)</t>
        </is>
      </c>
      <c r="C5" s="5" t="n">
        <v>0.47</v>
      </c>
      <c r="D5" s="6" t="inlineStr">
        <is>
          <t>Per Andrew 07-Oct-2026 - to be reviewed. NZD cost = EUR / rate.</t>
        </is>
      </c>
      <c r="M5" s="3" t="inlineStr">
        <is>
          <t>Items listed</t>
        </is>
      </c>
      <c r="N5" s="4">
        <f>COUNT(G14:G248)</f>
        <v/>
      </c>
      <c r="R5" s="6" t="inlineStr">
        <is>
          <t>GP % = (net price - landed cost) / net price, at the 1st and 2nd qty breaks (2nd = &gt;= 20 pcs for guns, &gt;= 10 pcs for heads &amp; fittings).</t>
        </is>
      </c>
    </row>
    <row r="6">
      <c r="A6" s="4" t="inlineStr">
        <is>
          <t>Freight rate (NZD per kg)</t>
        </is>
      </c>
      <c r="C6" s="7" t="n">
        <v>25</v>
      </c>
      <c r="D6" s="6" t="inlineStr">
        <is>
          <t>Per Andrew 07-Oct-2026 - placeholder, to be updated.</t>
        </is>
      </c>
      <c r="M6" s="3" t="inlineStr">
        <is>
          <t>No NW part no.</t>
        </is>
      </c>
      <c r="N6" s="4">
        <f>COUNTIF(B14:B248,"NOT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COUNTIF(F14:F248,"ESTIMATE*")</f>
        <v/>
      </c>
      <c r="R7" s="4" t="inlineStr">
        <is>
          <t>Flag GP % below</t>
        </is>
      </c>
      <c r="S7" s="8" t="n">
        <v>0.3</v>
      </c>
      <c r="T7" s="6" t="inlineStr">
        <is>
          <t>ASSUMPTION - 30% warning level, set as required.</t>
        </is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1.15</v>
      </c>
      <c r="D9" s="6" t="inlineStr">
        <is>
          <t>Per Andrew 07-Oct-2026 - 115%,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  <c r="R13" s="11" t="inlineStr">
        <is>
          <t>List price NZD / pc</t>
        </is>
      </c>
      <c r="S13" s="11" t="inlineStr">
        <is>
          <t>Discount %</t>
        </is>
      </c>
      <c r="T13" s="11" t="inlineStr">
        <is>
          <t>Net price NZD / pc</t>
        </is>
      </c>
      <c r="U13" s="11" t="inlineStr">
        <is>
          <t>GP % at 1st qty break</t>
        </is>
      </c>
      <c r="V13" s="11" t="inlineStr">
        <is>
          <t>GP % at 2nd qty break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R15" s="15" t="n"/>
      <c r="S15" s="15" t="n"/>
      <c r="T15" s="15" t="n"/>
      <c r="U15" s="15" t="n"/>
      <c r="V15" s="15" t="n"/>
    </row>
    <row r="16"/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  <c r="R17" s="17" t="n"/>
      <c r="S17" s="17" t="n"/>
      <c r="T17" s="17" t="n"/>
      <c r="U17" s="19" t="inlineStr">
        <is>
          <t>&lt; 20 pcs</t>
        </is>
      </c>
      <c r="V17" s="19" t="inlineStr">
        <is>
          <t>≥ 20 pcs</t>
        </is>
      </c>
    </row>
    <row r="18">
      <c r="A18" s="20" t="inlineStr">
        <is>
          <t>AKNN001-B</t>
        </is>
      </c>
      <c r="B18" s="21">
        <f>IFERROR(INDEX(Conversion!$C$2:$C$500,MATCH($A18,Conversion!$B$2:$B$500,0)),"NOT ASSIGNED")</f>
        <v/>
      </c>
      <c r="C18" s="22" t="inlineStr">
        <is>
          <t>Water gun with glass reinforced PA66 blue body. Stainless shaft with EPDM and VITON O-ring</t>
        </is>
      </c>
      <c r="D18" s="23" t="inlineStr">
        <is>
          <t>Classic Lite WD gun, w/o trigger guard, blue, PA66 plastic</t>
        </is>
      </c>
      <c r="E18" s="24" t="n">
        <v>0.48</v>
      </c>
      <c r="F18" s="25" t="inlineStr">
        <is>
          <t>Cat p.16/17</t>
        </is>
      </c>
      <c r="G18" s="26" t="n">
        <v>29.74</v>
      </c>
      <c r="H18" s="26" t="n">
        <v>26.43</v>
      </c>
      <c r="I18" s="27" t="n"/>
      <c r="J18" s="28">
        <f>IF(G18="","",G18/$C$5*(1+$C$8)+$E18*(1+$C$7)*$C$6)</f>
        <v/>
      </c>
      <c r="K18" s="28">
        <f>IF(H18="","",H18/$C$5*(1+$C$8)+$E18*(1+$C$7)*$C$6)</f>
        <v/>
      </c>
      <c r="L18" s="28">
        <f>IF(I18="","",I18/$C$5*(1+$C$8)+$E18*(1+$C$7)*$C$6)</f>
        <v/>
      </c>
      <c r="M18" s="29">
        <f>IF(J18="","",ROUND(J18*(1+$C$9),2))</f>
        <v/>
      </c>
      <c r="N18" s="29">
        <f>IF(K18="","",ROUND(K18*(1+$C$9),2))</f>
        <v/>
      </c>
      <c r="O18" s="29">
        <f>IF(L18="","",ROUND(L18*(1+$C$9),2))</f>
        <v/>
      </c>
      <c r="P18" s="30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  <c r="R18" s="31" t="n"/>
      <c r="S18" s="8" t="n"/>
      <c r="T18" s="29">
        <f>IF($R18="","",ROUND($R18*(1-N($S18)),2))</f>
        <v/>
      </c>
      <c r="U18" s="32">
        <f>IF(OR($T18="",$T18=0,$J18=""),"",($T18-$J18)/$T18)</f>
        <v/>
      </c>
      <c r="V18" s="32">
        <f>IF(OR($T18="",$T18=0,$K18=""),"",($T18-$K18)/$T18)</f>
        <v/>
      </c>
    </row>
    <row r="19">
      <c r="A19" s="20" t="inlineStr">
        <is>
          <t>BMFT001-B</t>
        </is>
      </c>
      <c r="B19" s="21">
        <f>IFERROR(INDEX(Conversion!$C$2:$C$500,MATCH($A19,Conversion!$B$2:$B$500,0)),"NOT ASSIGNED")</f>
        <v/>
      </c>
      <c r="C19" s="22" t="inlineStr">
        <is>
          <t>Blue Princess economic brass water gun, blue</t>
        </is>
      </c>
      <c r="D19" s="23" t="inlineStr">
        <is>
          <t>Blue Princess WD gun, w/o trigger guard, blue, brass</t>
        </is>
      </c>
      <c r="E19" s="24" t="n">
        <v>0.463</v>
      </c>
      <c r="F19" s="25" t="inlineStr">
        <is>
          <t>Cat p.C (Blue Princess)</t>
        </is>
      </c>
      <c r="G19" s="26" t="n">
        <v>22.47399</v>
      </c>
      <c r="H19" s="26" t="n">
        <v>19.97688</v>
      </c>
      <c r="I19" s="27" t="n"/>
      <c r="J19" s="28">
        <f>IF(G19="","",G19/$C$5*(1+$C$8)+$E19*(1+$C$7)*$C$6)</f>
        <v/>
      </c>
      <c r="K19" s="28">
        <f>IF(H19="","",H19/$C$5*(1+$C$8)+$E19*(1+$C$7)*$C$6)</f>
        <v/>
      </c>
      <c r="L19" s="28">
        <f>IF(I19="","",I19/$C$5*(1+$C$8)+$E19*(1+$C$7)*$C$6)</f>
        <v/>
      </c>
      <c r="M19" s="29">
        <f>IF(J19="","",ROUND(J19*(1+$C$9),2))</f>
        <v/>
      </c>
      <c r="N19" s="29">
        <f>IF(K19="","",ROUND(K19*(1+$C$9),2))</f>
        <v/>
      </c>
      <c r="O19" s="29">
        <f>IF(L19="","",ROUND(L19*(1+$C$9),2))</f>
        <v/>
      </c>
      <c r="P19" s="30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  <c r="R19" s="31" t="n"/>
      <c r="S19" s="8" t="n"/>
      <c r="T19" s="29">
        <f>IF($R19="","",ROUND($R19*(1-N($S19)),2))</f>
        <v/>
      </c>
      <c r="U19" s="32">
        <f>IF(OR($T19="",$T19=0,$J19=""),"",($T19-$J19)/$T19)</f>
        <v/>
      </c>
      <c r="V19" s="32">
        <f>IF(OR($T19="",$T19=0,$K19=""),"",($T19-$K19)/$T19)</f>
        <v/>
      </c>
    </row>
    <row r="20">
      <c r="A20" s="20" t="inlineStr">
        <is>
          <t>BMFT001-B-PRIN</t>
        </is>
      </c>
      <c r="B20" s="21">
        <f>IFERROR(INDEX(Conversion!$C$2:$C$500,MATCH($A20,Conversion!$B$2:$B$500,0)),"NOT ASSIGNED")</f>
        <v/>
      </c>
      <c r="C20" s="22" t="inlineStr">
        <is>
          <t>Blue Princess economic brass water gun, blue with PRINCESS logo</t>
        </is>
      </c>
      <c r="D20" s="23" t="inlineStr">
        <is>
          <t>Blue Princess WD gun, w/o trigger guard, PRINCESS logo, blue, brass</t>
        </is>
      </c>
      <c r="E20" s="24" t="n">
        <v>0.463</v>
      </c>
      <c r="F20" s="25" t="inlineStr">
        <is>
          <t>Cat p.C - same gun as BMFT001-B, logo only</t>
        </is>
      </c>
      <c r="G20" s="26" t="n">
        <v>22.52052</v>
      </c>
      <c r="H20" s="26" t="n">
        <v>20.01824</v>
      </c>
      <c r="I20" s="27" t="n"/>
      <c r="J20" s="28">
        <f>IF(G20="","",G20/$C$5*(1+$C$8)+$E20*(1+$C$7)*$C$6)</f>
        <v/>
      </c>
      <c r="K20" s="28">
        <f>IF(H20="","",H20/$C$5*(1+$C$8)+$E20*(1+$C$7)*$C$6)</f>
        <v/>
      </c>
      <c r="L20" s="28">
        <f>IF(I20="","",I20/$C$5*(1+$C$8)+$E20*(1+$C$7)*$C$6)</f>
        <v/>
      </c>
      <c r="M20" s="29">
        <f>IF(J20="","",ROUND(J20*(1+$C$9),2))</f>
        <v/>
      </c>
      <c r="N20" s="29">
        <f>IF(K20="","",ROUND(K20*(1+$C$9),2))</f>
        <v/>
      </c>
      <c r="O20" s="29">
        <f>IF(L20="","",ROUND(L20*(1+$C$9),2))</f>
        <v/>
      </c>
      <c r="P20" s="30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  <c r="R20" s="31" t="n"/>
      <c r="S20" s="8" t="n"/>
      <c r="T20" s="29">
        <f>IF($R20="","",ROUND($R20*(1-N($S20)),2))</f>
        <v/>
      </c>
      <c r="U20" s="32">
        <f>IF(OR($T20="",$T20=0,$J20=""),"",($T20-$J20)/$T20)</f>
        <v/>
      </c>
      <c r="V20" s="32">
        <f>IF(OR($T20="",$T20=0,$K20=""),"",($T20-$K20)/$T20)</f>
        <v/>
      </c>
    </row>
    <row r="21">
      <c r="A21" s="20" t="inlineStr">
        <is>
          <t>BMFTP11-B-PRIN</t>
        </is>
      </c>
      <c r="B21" s="21">
        <f>IFERROR(INDEX(Conversion!$C$2:$C$500,MATCH($A21,Conversion!$B$2:$B$500,0)),"NOT ASSIGNED")</f>
        <v/>
      </c>
      <c r="C21" s="22" t="inlineStr">
        <is>
          <t>Princess economic brass water gun with trigger guard and trigger insulation, blue with PRINCESS logo</t>
        </is>
      </c>
      <c r="D21" s="23" t="inlineStr">
        <is>
          <t>Blue Princess WD gun, w/ trigger guard, PRINCESS logo, blue, brass</t>
        </is>
      </c>
      <c r="E21" s="24" t="n">
        <v>0.59</v>
      </c>
      <c r="F21" s="25" t="inlineStr">
        <is>
          <t>Cat p.C</t>
        </is>
      </c>
      <c r="G21" s="26" t="n">
        <v>30.38409</v>
      </c>
      <c r="H21" s="26" t="n">
        <v>27.00808</v>
      </c>
      <c r="I21" s="27" t="n"/>
      <c r="J21" s="28">
        <f>IF(G21="","",G21/$C$5*(1+$C$8)+$E21*(1+$C$7)*$C$6)</f>
        <v/>
      </c>
      <c r="K21" s="28">
        <f>IF(H21="","",H21/$C$5*(1+$C$8)+$E21*(1+$C$7)*$C$6)</f>
        <v/>
      </c>
      <c r="L21" s="28">
        <f>IF(I21="","",I21/$C$5*(1+$C$8)+$E21*(1+$C$7)*$C$6)</f>
        <v/>
      </c>
      <c r="M21" s="29">
        <f>IF(J21="","",ROUND(J21*(1+$C$9),2))</f>
        <v/>
      </c>
      <c r="N21" s="29">
        <f>IF(K21="","",ROUND(K21*(1+$C$9),2))</f>
        <v/>
      </c>
      <c r="O21" s="29">
        <f>IF(L21="","",ROUND(L21*(1+$C$9),2))</f>
        <v/>
      </c>
      <c r="P21" s="30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  <c r="R21" s="31" t="n"/>
      <c r="S21" s="8" t="n"/>
      <c r="T21" s="29">
        <f>IF($R21="","",ROUND($R21*(1-N($S21)),2))</f>
        <v/>
      </c>
      <c r="U21" s="32">
        <f>IF(OR($T21="",$T21=0,$J21=""),"",($T21-$J21)/$T21)</f>
        <v/>
      </c>
      <c r="V21" s="32">
        <f>IF(OR($T21="",$T21=0,$K21=""),"",($T21-$K21)/$T21)</f>
        <v/>
      </c>
    </row>
    <row r="22">
      <c r="A22" s="20" t="inlineStr">
        <is>
          <t>KLMN001-B</t>
        </is>
      </c>
      <c r="B22" s="21">
        <f>IFERROR(INDEX(Conversion!$C$2:$C$500,MATCH($A22,Conversion!$B$2:$B$500,0)),"NOT ASSIGNED")</f>
        <v/>
      </c>
      <c r="C22" s="22" t="inlineStr">
        <is>
          <t>Brass water gun, without trigger insulation, blue</t>
        </is>
      </c>
      <c r="D22" s="23" t="inlineStr">
        <is>
          <t>Classic WD gun, w/o trigger insulation, blue, brass</t>
        </is>
      </c>
      <c r="E22" s="24" t="n">
        <v>0.84</v>
      </c>
      <c r="F22" s="25" t="inlineStr">
        <is>
          <t>Cat p.9</t>
        </is>
      </c>
      <c r="G22" s="26" t="n">
        <v>28.14</v>
      </c>
      <c r="H22" s="26" t="n">
        <v>25.02</v>
      </c>
      <c r="I22" s="27" t="n"/>
      <c r="J22" s="28">
        <f>IF(G22="","",G22/$C$5*(1+$C$8)+$E22*(1+$C$7)*$C$6)</f>
        <v/>
      </c>
      <c r="K22" s="28">
        <f>IF(H22="","",H22/$C$5*(1+$C$8)+$E22*(1+$C$7)*$C$6)</f>
        <v/>
      </c>
      <c r="L22" s="28">
        <f>IF(I22="","",I22/$C$5*(1+$C$8)+$E22*(1+$C$7)*$C$6)</f>
        <v/>
      </c>
      <c r="M22" s="29">
        <f>IF(J22="","",ROUND(J22*(1+$C$9),2))</f>
        <v/>
      </c>
      <c r="N22" s="29">
        <f>IF(K22="","",ROUND(K22*(1+$C$9),2))</f>
        <v/>
      </c>
      <c r="O22" s="29">
        <f>IF(L22="","",ROUND(L22*(1+$C$9),2))</f>
        <v/>
      </c>
      <c r="P22" s="30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  <c r="R22" s="31" t="n"/>
      <c r="S22" s="8" t="n"/>
      <c r="T22" s="29">
        <f>IF($R22="","",ROUND($R22*(1-N($S22)),2))</f>
        <v/>
      </c>
      <c r="U22" s="32">
        <f>IF(OR($T22="",$T22=0,$J22=""),"",($T22-$J22)/$T22)</f>
        <v/>
      </c>
      <c r="V22" s="32">
        <f>IF(OR($T22="",$T22=0,$K22=""),"",($T22-$K22)/$T22)</f>
        <v/>
      </c>
    </row>
    <row r="23">
      <c r="A23" s="20" t="inlineStr">
        <is>
          <t>KLMN001-R</t>
        </is>
      </c>
      <c r="B23" s="21">
        <f>IFERROR(INDEX(Conversion!$C$2:$C$500,MATCH($A23,Conversion!$B$2:$B$500,0)),"NOT ASSIGNED")</f>
        <v/>
      </c>
      <c r="C23" s="22" t="inlineStr">
        <is>
          <t>Brass water gun without trigger insulation, red</t>
        </is>
      </c>
      <c r="D23" s="23" t="inlineStr">
        <is>
          <t>Classic WD gun, w/o trigger insulation, red, brass</t>
        </is>
      </c>
      <c r="E23" s="24" t="n">
        <v>0.84</v>
      </c>
      <c r="F23" s="25" t="inlineStr">
        <is>
          <t>Cat p.9</t>
        </is>
      </c>
      <c r="G23" s="26" t="n">
        <v>29.08</v>
      </c>
      <c r="H23" s="26" t="n">
        <v>25.85</v>
      </c>
      <c r="I23" s="27" t="n"/>
      <c r="J23" s="28">
        <f>IF(G23="","",G23/$C$5*(1+$C$8)+$E23*(1+$C$7)*$C$6)</f>
        <v/>
      </c>
      <c r="K23" s="28">
        <f>IF(H23="","",H23/$C$5*(1+$C$8)+$E23*(1+$C$7)*$C$6)</f>
        <v/>
      </c>
      <c r="L23" s="28">
        <f>IF(I23="","",I23/$C$5*(1+$C$8)+$E23*(1+$C$7)*$C$6)</f>
        <v/>
      </c>
      <c r="M23" s="29">
        <f>IF(J23="","",ROUND(J23*(1+$C$9),2))</f>
        <v/>
      </c>
      <c r="N23" s="29">
        <f>IF(K23="","",ROUND(K23*(1+$C$9),2))</f>
        <v/>
      </c>
      <c r="O23" s="29">
        <f>IF(L23="","",ROUND(L23*(1+$C$9),2))</f>
        <v/>
      </c>
      <c r="P23" s="30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  <c r="R23" s="31" t="n"/>
      <c r="S23" s="8" t="n"/>
      <c r="T23" s="29">
        <f>IF($R23="","",ROUND($R23*(1-N($S23)),2))</f>
        <v/>
      </c>
      <c r="U23" s="32">
        <f>IF(OR($T23="",$T23=0,$J23=""),"",($T23-$J23)/$T23)</f>
        <v/>
      </c>
      <c r="V23" s="32">
        <f>IF(OR($T23="",$T23=0,$K23=""),"",($T23-$K23)/$T23)</f>
        <v/>
      </c>
    </row>
    <row r="24">
      <c r="A24" s="20" t="inlineStr">
        <is>
          <t>KLMN001-G</t>
        </is>
      </c>
      <c r="B24" s="21">
        <f>IFERROR(INDEX(Conversion!$C$2:$C$500,MATCH($A24,Conversion!$B$2:$B$500,0)),"NOT ASSIGNED")</f>
        <v/>
      </c>
      <c r="C24" s="22" t="inlineStr">
        <is>
          <t>Brass water gun, without trigger insulation, green</t>
        </is>
      </c>
      <c r="D24" s="23" t="inlineStr">
        <is>
          <t>Classic WD gun, w/o trigger insulation, green, brass</t>
        </is>
      </c>
      <c r="E24" s="24" t="n">
        <v>0.84</v>
      </c>
      <c r="F24" s="25" t="inlineStr">
        <is>
          <t>Cat p.9</t>
        </is>
      </c>
      <c r="G24" s="26" t="n">
        <v>29.08</v>
      </c>
      <c r="H24" s="26" t="n">
        <v>25.85</v>
      </c>
      <c r="I24" s="27" t="n"/>
      <c r="J24" s="28">
        <f>IF(G24="","",G24/$C$5*(1+$C$8)+$E24*(1+$C$7)*$C$6)</f>
        <v/>
      </c>
      <c r="K24" s="28">
        <f>IF(H24="","",H24/$C$5*(1+$C$8)+$E24*(1+$C$7)*$C$6)</f>
        <v/>
      </c>
      <c r="L24" s="28">
        <f>IF(I24="","",I24/$C$5*(1+$C$8)+$E24*(1+$C$7)*$C$6)</f>
        <v/>
      </c>
      <c r="M24" s="29">
        <f>IF(J24="","",ROUND(J24*(1+$C$9),2))</f>
        <v/>
      </c>
      <c r="N24" s="29">
        <f>IF(K24="","",ROUND(K24*(1+$C$9),2))</f>
        <v/>
      </c>
      <c r="O24" s="29">
        <f>IF(L24="","",ROUND(L24*(1+$C$9),2))</f>
        <v/>
      </c>
      <c r="P24" s="30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  <c r="R24" s="31" t="n"/>
      <c r="S24" s="8" t="n"/>
      <c r="T24" s="29">
        <f>IF($R24="","",ROUND($R24*(1-N($S24)),2))</f>
        <v/>
      </c>
      <c r="U24" s="32">
        <f>IF(OR($T24="",$T24=0,$J24=""),"",($T24-$J24)/$T24)</f>
        <v/>
      </c>
      <c r="V24" s="32">
        <f>IF(OR($T24="",$T24=0,$K24=""),"",($T24-$K24)/$T24)</f>
        <v/>
      </c>
    </row>
    <row r="25">
      <c r="A25" s="20" t="inlineStr">
        <is>
          <t>KLMN001-BL</t>
        </is>
      </c>
      <c r="B25" s="21">
        <f>IFERROR(INDEX(Conversion!$C$2:$C$500,MATCH($A25,Conversion!$B$2:$B$500,0)),"NOT ASSIGNED")</f>
        <v/>
      </c>
      <c r="C25" s="22" t="inlineStr">
        <is>
          <t>Brass water gun, without trigger insulation, black</t>
        </is>
      </c>
      <c r="D25" s="23" t="inlineStr">
        <is>
          <t>Classic WD gun, w/o trigger insulation, black, brass</t>
        </is>
      </c>
      <c r="E25" s="24" t="n">
        <v>0.84</v>
      </c>
      <c r="F25" s="25" t="inlineStr">
        <is>
          <t>Cat p.9</t>
        </is>
      </c>
      <c r="G25" s="26" t="n">
        <v>29.08</v>
      </c>
      <c r="H25" s="26" t="n">
        <v>25.85</v>
      </c>
      <c r="I25" s="27" t="n"/>
      <c r="J25" s="28">
        <f>IF(G25="","",G25/$C$5*(1+$C$8)+$E25*(1+$C$7)*$C$6)</f>
        <v/>
      </c>
      <c r="K25" s="28">
        <f>IF(H25="","",H25/$C$5*(1+$C$8)+$E25*(1+$C$7)*$C$6)</f>
        <v/>
      </c>
      <c r="L25" s="28">
        <f>IF(I25="","",I25/$C$5*(1+$C$8)+$E25*(1+$C$7)*$C$6)</f>
        <v/>
      </c>
      <c r="M25" s="29">
        <f>IF(J25="","",ROUND(J25*(1+$C$9),2))</f>
        <v/>
      </c>
      <c r="N25" s="29">
        <f>IF(K25="","",ROUND(K25*(1+$C$9),2))</f>
        <v/>
      </c>
      <c r="O25" s="29">
        <f>IF(L25="","",ROUND(L25*(1+$C$9),2))</f>
        <v/>
      </c>
      <c r="P25" s="30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  <c r="R25" s="31" t="n"/>
      <c r="S25" s="8" t="n"/>
      <c r="T25" s="29">
        <f>IF($R25="","",ROUND($R25*(1-N($S25)),2))</f>
        <v/>
      </c>
      <c r="U25" s="32">
        <f>IF(OR($T25="",$T25=0,$J25=""),"",($T25-$J25)/$T25)</f>
        <v/>
      </c>
      <c r="V25" s="32">
        <f>IF(OR($T25="",$T25=0,$K25=""),"",($T25-$K25)/$T25)</f>
        <v/>
      </c>
    </row>
    <row r="26">
      <c r="A26" s="20" t="inlineStr">
        <is>
          <t>KLMN001-Y</t>
        </is>
      </c>
      <c r="B26" s="21">
        <f>IFERROR(INDEX(Conversion!$C$2:$C$500,MATCH($A26,Conversion!$B$2:$B$500,0)),"NOT ASSIGNED")</f>
        <v/>
      </c>
      <c r="C26" s="22" t="inlineStr">
        <is>
          <t>Brass water gun, without trigger insulation, yellow</t>
        </is>
      </c>
      <c r="D26" s="23" t="inlineStr">
        <is>
          <t>Classic WD gun, w/o trigger insulation, yellow, brass</t>
        </is>
      </c>
      <c r="E26" s="24" t="n">
        <v>0.84</v>
      </c>
      <c r="F26" s="25" t="inlineStr">
        <is>
          <t>Cat p.9</t>
        </is>
      </c>
      <c r="G26" s="26" t="n">
        <v>29.08</v>
      </c>
      <c r="H26" s="26" t="n">
        <v>25.85</v>
      </c>
      <c r="I26" s="27" t="n"/>
      <c r="J26" s="28">
        <f>IF(G26="","",G26/$C$5*(1+$C$8)+$E26*(1+$C$7)*$C$6)</f>
        <v/>
      </c>
      <c r="K26" s="28">
        <f>IF(H26="","",H26/$C$5*(1+$C$8)+$E26*(1+$C$7)*$C$6)</f>
        <v/>
      </c>
      <c r="L26" s="28">
        <f>IF(I26="","",I26/$C$5*(1+$C$8)+$E26*(1+$C$7)*$C$6)</f>
        <v/>
      </c>
      <c r="M26" s="29">
        <f>IF(J26="","",ROUND(J26*(1+$C$9),2))</f>
        <v/>
      </c>
      <c r="N26" s="29">
        <f>IF(K26="","",ROUND(K26*(1+$C$9),2))</f>
        <v/>
      </c>
      <c r="O26" s="29">
        <f>IF(L26="","",ROUND(L26*(1+$C$9),2))</f>
        <v/>
      </c>
      <c r="P26" s="30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  <c r="R26" s="31" t="n"/>
      <c r="S26" s="8" t="n"/>
      <c r="T26" s="29">
        <f>IF($R26="","",ROUND($R26*(1-N($S26)),2))</f>
        <v/>
      </c>
      <c r="U26" s="32">
        <f>IF(OR($T26="",$T26=0,$J26=""),"",($T26-$J26)/$T26)</f>
        <v/>
      </c>
      <c r="V26" s="32">
        <f>IF(OR($T26="",$T26=0,$K26=""),"",($T26-$K26)/$T26)</f>
        <v/>
      </c>
    </row>
    <row r="27">
      <c r="A27" s="20" t="inlineStr">
        <is>
          <t>KLMN001-W</t>
        </is>
      </c>
      <c r="B27" s="21">
        <f>IFERROR(INDEX(Conversion!$C$2:$C$500,MATCH($A27,Conversion!$B$2:$B$500,0)),"NOT ASSIGNED")</f>
        <v/>
      </c>
      <c r="C27" s="22" t="inlineStr">
        <is>
          <t>Brass water gun, without trigger insulation, white</t>
        </is>
      </c>
      <c r="D27" s="23" t="inlineStr">
        <is>
          <t>Classic WD gun, w/o trigger insulation, white, brass</t>
        </is>
      </c>
      <c r="E27" s="24" t="n">
        <v>0.84</v>
      </c>
      <c r="F27" s="25" t="inlineStr">
        <is>
          <t>Cat p.9</t>
        </is>
      </c>
      <c r="G27" s="26" t="n">
        <v>29.08</v>
      </c>
      <c r="H27" s="26" t="n">
        <v>25.85</v>
      </c>
      <c r="I27" s="27" t="n"/>
      <c r="J27" s="28">
        <f>IF(G27="","",G27/$C$5*(1+$C$8)+$E27*(1+$C$7)*$C$6)</f>
        <v/>
      </c>
      <c r="K27" s="28">
        <f>IF(H27="","",H27/$C$5*(1+$C$8)+$E27*(1+$C$7)*$C$6)</f>
        <v/>
      </c>
      <c r="L27" s="28">
        <f>IF(I27="","",I27/$C$5*(1+$C$8)+$E27*(1+$C$7)*$C$6)</f>
        <v/>
      </c>
      <c r="M27" s="29">
        <f>IF(J27="","",ROUND(J27*(1+$C$9),2))</f>
        <v/>
      </c>
      <c r="N27" s="29">
        <f>IF(K27="","",ROUND(K27*(1+$C$9),2))</f>
        <v/>
      </c>
      <c r="O27" s="29">
        <f>IF(L27="","",ROUND(L27*(1+$C$9),2))</f>
        <v/>
      </c>
      <c r="P27" s="30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  <c r="R27" s="31" t="n"/>
      <c r="S27" s="8" t="n"/>
      <c r="T27" s="29">
        <f>IF($R27="","",ROUND($R27*(1-N($S27)),2))</f>
        <v/>
      </c>
      <c r="U27" s="32">
        <f>IF(OR($T27="",$T27=0,$J27=""),"",($T27-$J27)/$T27)</f>
        <v/>
      </c>
      <c r="V27" s="32">
        <f>IF(OR($T27="",$T27=0,$K27=""),"",($T27-$K27)/$T27)</f>
        <v/>
      </c>
    </row>
    <row r="28"/>
    <row r="29">
      <c r="A29" s="20" t="inlineStr">
        <is>
          <t>AKMN001-B</t>
        </is>
      </c>
      <c r="B29" s="21">
        <f>IFERROR(INDEX(Conversion!$C$2:$C$500,MATCH($A29,Conversion!$B$2:$B$500,0)),"NOT ASSIGNED")</f>
        <v/>
      </c>
      <c r="C29" s="22" t="inlineStr">
        <is>
          <t>Brass water gun, blue</t>
        </is>
      </c>
      <c r="D29" s="23" t="inlineStr">
        <is>
          <t>Classic Plus WD gun, w/o trigger guard, blue, brass</t>
        </is>
      </c>
      <c r="E29" s="24" t="n">
        <v>0.835</v>
      </c>
      <c r="F29" s="25" t="inlineStr">
        <is>
          <t>Cat p.11</t>
        </is>
      </c>
      <c r="G29" s="26" t="n">
        <v>29.24</v>
      </c>
      <c r="H29" s="26" t="n">
        <v>25.99</v>
      </c>
      <c r="I29" s="27" t="n"/>
      <c r="J29" s="28">
        <f>IF(G29="","",G29/$C$5*(1+$C$8)+$E29*(1+$C$7)*$C$6)</f>
        <v/>
      </c>
      <c r="K29" s="28">
        <f>IF(H29="","",H29/$C$5*(1+$C$8)+$E29*(1+$C$7)*$C$6)</f>
        <v/>
      </c>
      <c r="L29" s="28">
        <f>IF(I29="","",I29/$C$5*(1+$C$8)+$E29*(1+$C$7)*$C$6)</f>
        <v/>
      </c>
      <c r="M29" s="29">
        <f>IF(J29="","",ROUND(J29*(1+$C$9),2))</f>
        <v/>
      </c>
      <c r="N29" s="29">
        <f>IF(K29="","",ROUND(K29*(1+$C$9),2))</f>
        <v/>
      </c>
      <c r="O29" s="29">
        <f>IF(L29="","",ROUND(L29*(1+$C$9),2))</f>
        <v/>
      </c>
      <c r="P29" s="30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  <c r="R29" s="31" t="n"/>
      <c r="S29" s="8" t="n"/>
      <c r="T29" s="29">
        <f>IF($R29="","",ROUND($R29*(1-N($S29)),2))</f>
        <v/>
      </c>
      <c r="U29" s="32">
        <f>IF(OR($T29="",$T29=0,$J29=""),"",($T29-$J29)/$T29)</f>
        <v/>
      </c>
      <c r="V29" s="32">
        <f>IF(OR($T29="",$T29=0,$K29=""),"",($T29-$K29)/$T29)</f>
        <v/>
      </c>
    </row>
    <row r="30">
      <c r="A30" s="20" t="inlineStr">
        <is>
          <t>AKMN001-R</t>
        </is>
      </c>
      <c r="B30" s="21">
        <f>IFERROR(INDEX(Conversion!$C$2:$C$500,MATCH($A30,Conversion!$B$2:$B$500,0)),"NOT ASSIGNED")</f>
        <v/>
      </c>
      <c r="C30" s="22" t="inlineStr">
        <is>
          <t>Brass water gun, red</t>
        </is>
      </c>
      <c r="D30" s="23" t="inlineStr">
        <is>
          <t>Classic Plus WD gun, w/o trigger guard, red, brass</t>
        </is>
      </c>
      <c r="E30" s="24" t="n">
        <v>0.835</v>
      </c>
      <c r="F30" s="25" t="inlineStr">
        <is>
          <t>Cat p.11</t>
        </is>
      </c>
      <c r="G30" s="26" t="n">
        <v>30.17</v>
      </c>
      <c r="H30" s="26" t="n">
        <v>26.82</v>
      </c>
      <c r="I30" s="27" t="n"/>
      <c r="J30" s="28">
        <f>IF(G30="","",G30/$C$5*(1+$C$8)+$E30*(1+$C$7)*$C$6)</f>
        <v/>
      </c>
      <c r="K30" s="28">
        <f>IF(H30="","",H30/$C$5*(1+$C$8)+$E30*(1+$C$7)*$C$6)</f>
        <v/>
      </c>
      <c r="L30" s="28">
        <f>IF(I30="","",I30/$C$5*(1+$C$8)+$E30*(1+$C$7)*$C$6)</f>
        <v/>
      </c>
      <c r="M30" s="29">
        <f>IF(J30="","",ROUND(J30*(1+$C$9),2))</f>
        <v/>
      </c>
      <c r="N30" s="29">
        <f>IF(K30="","",ROUND(K30*(1+$C$9),2))</f>
        <v/>
      </c>
      <c r="O30" s="29">
        <f>IF(L30="","",ROUND(L30*(1+$C$9),2))</f>
        <v/>
      </c>
      <c r="P30" s="30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  <c r="R30" s="31" t="n"/>
      <c r="S30" s="8" t="n"/>
      <c r="T30" s="29">
        <f>IF($R30="","",ROUND($R30*(1-N($S30)),2))</f>
        <v/>
      </c>
      <c r="U30" s="32">
        <f>IF(OR($T30="",$T30=0,$J30=""),"",($T30-$J30)/$T30)</f>
        <v/>
      </c>
      <c r="V30" s="32">
        <f>IF(OR($T30="",$T30=0,$K30=""),"",($T30-$K30)/$T30)</f>
        <v/>
      </c>
    </row>
    <row r="31">
      <c r="A31" s="20" t="inlineStr">
        <is>
          <t>AKMN001-G</t>
        </is>
      </c>
      <c r="B31" s="21">
        <f>IFERROR(INDEX(Conversion!$C$2:$C$500,MATCH($A31,Conversion!$B$2:$B$500,0)),"NOT ASSIGNED")</f>
        <v/>
      </c>
      <c r="C31" s="22" t="inlineStr">
        <is>
          <t>Brass water gun, green</t>
        </is>
      </c>
      <c r="D31" s="23" t="inlineStr">
        <is>
          <t>Classic Plus WD gun, w/o trigger guard, green, brass</t>
        </is>
      </c>
      <c r="E31" s="24" t="n">
        <v>0.835</v>
      </c>
      <c r="F31" s="25" t="inlineStr">
        <is>
          <t>Cat p.11</t>
        </is>
      </c>
      <c r="G31" s="26" t="n">
        <v>30.17</v>
      </c>
      <c r="H31" s="26" t="n">
        <v>26.82</v>
      </c>
      <c r="I31" s="27" t="n"/>
      <c r="J31" s="28">
        <f>IF(G31="","",G31/$C$5*(1+$C$8)+$E31*(1+$C$7)*$C$6)</f>
        <v/>
      </c>
      <c r="K31" s="28">
        <f>IF(H31="","",H31/$C$5*(1+$C$8)+$E31*(1+$C$7)*$C$6)</f>
        <v/>
      </c>
      <c r="L31" s="28">
        <f>IF(I31="","",I31/$C$5*(1+$C$8)+$E31*(1+$C$7)*$C$6)</f>
        <v/>
      </c>
      <c r="M31" s="29">
        <f>IF(J31="","",ROUND(J31*(1+$C$9),2))</f>
        <v/>
      </c>
      <c r="N31" s="29">
        <f>IF(K31="","",ROUND(K31*(1+$C$9),2))</f>
        <v/>
      </c>
      <c r="O31" s="29">
        <f>IF(L31="","",ROUND(L31*(1+$C$9),2))</f>
        <v/>
      </c>
      <c r="P31" s="30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  <c r="R31" s="31" t="n"/>
      <c r="S31" s="8" t="n"/>
      <c r="T31" s="29">
        <f>IF($R31="","",ROUND($R31*(1-N($S31)),2))</f>
        <v/>
      </c>
      <c r="U31" s="32">
        <f>IF(OR($T31="",$T31=0,$J31=""),"",($T31-$J31)/$T31)</f>
        <v/>
      </c>
      <c r="V31" s="32">
        <f>IF(OR($T31="",$T31=0,$K31=""),"",($T31-$K31)/$T31)</f>
        <v/>
      </c>
    </row>
    <row r="32">
      <c r="A32" s="20" t="inlineStr">
        <is>
          <t>AKMN001-BL</t>
        </is>
      </c>
      <c r="B32" s="21">
        <f>IFERROR(INDEX(Conversion!$C$2:$C$500,MATCH($A32,Conversion!$B$2:$B$500,0)),"NOT ASSIGNED")</f>
        <v/>
      </c>
      <c r="C32" s="22" t="inlineStr">
        <is>
          <t>Brass water gun, black</t>
        </is>
      </c>
      <c r="D32" s="23" t="inlineStr">
        <is>
          <t>Classic Plus WD gun, w/o trigger guard, black, brass</t>
        </is>
      </c>
      <c r="E32" s="24" t="n">
        <v>0.835</v>
      </c>
      <c r="F32" s="25" t="inlineStr">
        <is>
          <t>Cat p.11</t>
        </is>
      </c>
      <c r="G32" s="26" t="n">
        <v>30.17</v>
      </c>
      <c r="H32" s="26" t="n">
        <v>26.82</v>
      </c>
      <c r="I32" s="27" t="n"/>
      <c r="J32" s="28">
        <f>IF(G32="","",G32/$C$5*(1+$C$8)+$E32*(1+$C$7)*$C$6)</f>
        <v/>
      </c>
      <c r="K32" s="28">
        <f>IF(H32="","",H32/$C$5*(1+$C$8)+$E32*(1+$C$7)*$C$6)</f>
        <v/>
      </c>
      <c r="L32" s="28">
        <f>IF(I32="","",I32/$C$5*(1+$C$8)+$E32*(1+$C$7)*$C$6)</f>
        <v/>
      </c>
      <c r="M32" s="29">
        <f>IF(J32="","",ROUND(J32*(1+$C$9),2))</f>
        <v/>
      </c>
      <c r="N32" s="29">
        <f>IF(K32="","",ROUND(K32*(1+$C$9),2))</f>
        <v/>
      </c>
      <c r="O32" s="29">
        <f>IF(L32="","",ROUND(L32*(1+$C$9),2))</f>
        <v/>
      </c>
      <c r="P32" s="30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  <c r="R32" s="31" t="n"/>
      <c r="S32" s="8" t="n"/>
      <c r="T32" s="29">
        <f>IF($R32="","",ROUND($R32*(1-N($S32)),2))</f>
        <v/>
      </c>
      <c r="U32" s="32">
        <f>IF(OR($T32="",$T32=0,$J32=""),"",($T32-$J32)/$T32)</f>
        <v/>
      </c>
      <c r="V32" s="32">
        <f>IF(OR($T32="",$T32=0,$K32=""),"",($T32-$K32)/$T32)</f>
        <v/>
      </c>
    </row>
    <row r="33">
      <c r="A33" s="20" t="inlineStr">
        <is>
          <t>AKMN001-Y</t>
        </is>
      </c>
      <c r="B33" s="21">
        <f>IFERROR(INDEX(Conversion!$C$2:$C$500,MATCH($A33,Conversion!$B$2:$B$500,0)),"NOT ASSIGNED")</f>
        <v/>
      </c>
      <c r="C33" s="22" t="inlineStr">
        <is>
          <t>Brass water gun, yellow</t>
        </is>
      </c>
      <c r="D33" s="23" t="inlineStr">
        <is>
          <t>Classic Plus WD gun, w/o trigger guard, yellow, brass</t>
        </is>
      </c>
      <c r="E33" s="24" t="n">
        <v>0.835</v>
      </c>
      <c r="F33" s="25" t="inlineStr">
        <is>
          <t>Cat p.11</t>
        </is>
      </c>
      <c r="G33" s="26" t="n">
        <v>30.17</v>
      </c>
      <c r="H33" s="26" t="n">
        <v>26.82</v>
      </c>
      <c r="I33" s="27" t="n"/>
      <c r="J33" s="28">
        <f>IF(G33="","",G33/$C$5*(1+$C$8)+$E33*(1+$C$7)*$C$6)</f>
        <v/>
      </c>
      <c r="K33" s="28">
        <f>IF(H33="","",H33/$C$5*(1+$C$8)+$E33*(1+$C$7)*$C$6)</f>
        <v/>
      </c>
      <c r="L33" s="28">
        <f>IF(I33="","",I33/$C$5*(1+$C$8)+$E33*(1+$C$7)*$C$6)</f>
        <v/>
      </c>
      <c r="M33" s="29">
        <f>IF(J33="","",ROUND(J33*(1+$C$9),2))</f>
        <v/>
      </c>
      <c r="N33" s="29">
        <f>IF(K33="","",ROUND(K33*(1+$C$9),2))</f>
        <v/>
      </c>
      <c r="O33" s="29">
        <f>IF(L33="","",ROUND(L33*(1+$C$9),2))</f>
        <v/>
      </c>
      <c r="P33" s="30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  <c r="R33" s="31" t="n"/>
      <c r="S33" s="8" t="n"/>
      <c r="T33" s="29">
        <f>IF($R33="","",ROUND($R33*(1-N($S33)),2))</f>
        <v/>
      </c>
      <c r="U33" s="32">
        <f>IF(OR($T33="",$T33=0,$J33=""),"",($T33-$J33)/$T33)</f>
        <v/>
      </c>
      <c r="V33" s="32">
        <f>IF(OR($T33="",$T33=0,$K33=""),"",($T33-$K33)/$T33)</f>
        <v/>
      </c>
    </row>
    <row r="34">
      <c r="A34" s="20" t="inlineStr">
        <is>
          <t>AKMN001-W</t>
        </is>
      </c>
      <c r="B34" s="21">
        <f>IFERROR(INDEX(Conversion!$C$2:$C$500,MATCH($A34,Conversion!$B$2:$B$500,0)),"NOT ASSIGNED")</f>
        <v/>
      </c>
      <c r="C34" s="22" t="inlineStr">
        <is>
          <t>Brass water gun, white</t>
        </is>
      </c>
      <c r="D34" s="23" t="inlineStr">
        <is>
          <t>Classic Plus WD gun, w/o trigger guard, white, brass</t>
        </is>
      </c>
      <c r="E34" s="24" t="n">
        <v>0.835</v>
      </c>
      <c r="F34" s="25" t="inlineStr">
        <is>
          <t>Cat p.11</t>
        </is>
      </c>
      <c r="G34" s="26" t="n">
        <v>30.17</v>
      </c>
      <c r="H34" s="26" t="n">
        <v>26.82</v>
      </c>
      <c r="I34" s="27" t="n"/>
      <c r="J34" s="28">
        <f>IF(G34="","",G34/$C$5*(1+$C$8)+$E34*(1+$C$7)*$C$6)</f>
        <v/>
      </c>
      <c r="K34" s="28">
        <f>IF(H34="","",H34/$C$5*(1+$C$8)+$E34*(1+$C$7)*$C$6)</f>
        <v/>
      </c>
      <c r="L34" s="28">
        <f>IF(I34="","",I34/$C$5*(1+$C$8)+$E34*(1+$C$7)*$C$6)</f>
        <v/>
      </c>
      <c r="M34" s="29">
        <f>IF(J34="","",ROUND(J34*(1+$C$9),2))</f>
        <v/>
      </c>
      <c r="N34" s="29">
        <f>IF(K34="","",ROUND(K34*(1+$C$9),2))</f>
        <v/>
      </c>
      <c r="O34" s="29">
        <f>IF(L34="","",ROUND(L34*(1+$C$9),2))</f>
        <v/>
      </c>
      <c r="P34" s="30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  <c r="R34" s="31" t="n"/>
      <c r="S34" s="8" t="n"/>
      <c r="T34" s="29">
        <f>IF($R34="","",ROUND($R34*(1-N($S34)),2))</f>
        <v/>
      </c>
      <c r="U34" s="32">
        <f>IF(OR($T34="",$T34=0,$J34=""),"",($T34-$J34)/$T34)</f>
        <v/>
      </c>
      <c r="V34" s="32">
        <f>IF(OR($T34="",$T34=0,$K34=""),"",($T34-$K34)/$T34)</f>
        <v/>
      </c>
    </row>
    <row r="35">
      <c r="A35" s="20" t="inlineStr">
        <is>
          <t>AKMNP01-B</t>
        </is>
      </c>
      <c r="B35" s="21">
        <f>IFERROR(INDEX(Conversion!$C$2:$C$500,MATCH($A35,Conversion!$B$2:$B$500,0)),"NOT ASSIGNED")</f>
        <v/>
      </c>
      <c r="C35" s="22" t="inlineStr">
        <is>
          <t>Brass water gun with trigger protection, blue</t>
        </is>
      </c>
      <c r="D35" s="23" t="inlineStr">
        <is>
          <t>Classic Plus WD gun, w/ trigger guard, blue, brass</t>
        </is>
      </c>
      <c r="E35" s="24" t="n">
        <v>1.031</v>
      </c>
      <c r="F35" s="25" t="inlineStr">
        <is>
          <t>Cat p.11</t>
        </is>
      </c>
      <c r="G35" s="26" t="n">
        <v>35</v>
      </c>
      <c r="H35" s="26" t="n">
        <v>31.11</v>
      </c>
      <c r="I35" s="27" t="n"/>
      <c r="J35" s="28">
        <f>IF(G35="","",G35/$C$5*(1+$C$8)+$E35*(1+$C$7)*$C$6)</f>
        <v/>
      </c>
      <c r="K35" s="28">
        <f>IF(H35="","",H35/$C$5*(1+$C$8)+$E35*(1+$C$7)*$C$6)</f>
        <v/>
      </c>
      <c r="L35" s="28">
        <f>IF(I35="","",I35/$C$5*(1+$C$8)+$E35*(1+$C$7)*$C$6)</f>
        <v/>
      </c>
      <c r="M35" s="29">
        <f>IF(J35="","",ROUND(J35*(1+$C$9),2))</f>
        <v/>
      </c>
      <c r="N35" s="29">
        <f>IF(K35="","",ROUND(K35*(1+$C$9),2))</f>
        <v/>
      </c>
      <c r="O35" s="29">
        <f>IF(L35="","",ROUND(L35*(1+$C$9),2))</f>
        <v/>
      </c>
      <c r="P35" s="30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  <c r="R35" s="31" t="n"/>
      <c r="S35" s="8" t="n"/>
      <c r="T35" s="29">
        <f>IF($R35="","",ROUND($R35*(1-N($S35)),2))</f>
        <v/>
      </c>
      <c r="U35" s="32">
        <f>IF(OR($T35="",$T35=0,$J35=""),"",($T35-$J35)/$T35)</f>
        <v/>
      </c>
      <c r="V35" s="32">
        <f>IF(OR($T35="",$T35=0,$K35=""),"",($T35-$K35)/$T35)</f>
        <v/>
      </c>
    </row>
    <row r="36"/>
    <row r="37">
      <c r="A37" s="20" t="inlineStr">
        <is>
          <t>AKMN011-B</t>
        </is>
      </c>
      <c r="B37" s="21">
        <f>IFERROR(INDEX(Conversion!$C$2:$C$500,MATCH($A37,Conversion!$B$2:$B$500,0)),"NOT ASSIGNED")</f>
        <v/>
      </c>
      <c r="C37" s="22" t="inlineStr">
        <is>
          <t>Blue King superior brass water gun without trigger protection, blue</t>
        </is>
      </c>
      <c r="D37" s="23" t="inlineStr">
        <is>
          <t>Blue King WD gun, w/o trigger guard, blue, brass</t>
        </is>
      </c>
      <c r="E37" s="24" t="n">
        <v>0.706</v>
      </c>
      <c r="F37" s="25" t="inlineStr">
        <is>
          <t>Cat p.6</t>
        </is>
      </c>
      <c r="G37" s="26" t="n">
        <v>27.006012</v>
      </c>
      <c r="H37" s="26" t="n">
        <v>24.005344</v>
      </c>
      <c r="I37" s="27" t="n"/>
      <c r="J37" s="28">
        <f>IF(G37="","",G37/$C$5*(1+$C$8)+$E37*(1+$C$7)*$C$6)</f>
        <v/>
      </c>
      <c r="K37" s="28">
        <f>IF(H37="","",H37/$C$5*(1+$C$8)+$E37*(1+$C$7)*$C$6)</f>
        <v/>
      </c>
      <c r="L37" s="28">
        <f>IF(I37="","",I37/$C$5*(1+$C$8)+$E37*(1+$C$7)*$C$6)</f>
        <v/>
      </c>
      <c r="M37" s="29">
        <f>IF(J37="","",ROUND(J37*(1+$C$9),2))</f>
        <v/>
      </c>
      <c r="N37" s="29">
        <f>IF(K37="","",ROUND(K37*(1+$C$9),2))</f>
        <v/>
      </c>
      <c r="O37" s="29">
        <f>IF(L37="","",ROUND(L37*(1+$C$9),2))</f>
        <v/>
      </c>
      <c r="P37" s="30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  <c r="R37" s="31" t="n"/>
      <c r="S37" s="8" t="n"/>
      <c r="T37" s="29">
        <f>IF($R37="","",ROUND($R37*(1-N($S37)),2))</f>
        <v/>
      </c>
      <c r="U37" s="32">
        <f>IF(OR($T37="",$T37=0,$J37=""),"",($T37-$J37)/$T37)</f>
        <v/>
      </c>
      <c r="V37" s="32">
        <f>IF(OR($T37="",$T37=0,$K37=""),"",($T37-$K37)/$T37)</f>
        <v/>
      </c>
    </row>
    <row r="38">
      <c r="A38" s="20" t="inlineStr">
        <is>
          <t>AKMN011-B-KING</t>
        </is>
      </c>
      <c r="B38" s="21">
        <f>IFERROR(INDEX(Conversion!$C$2:$C$500,MATCH($A38,Conversion!$B$2:$B$500,0)),"NOT ASSIGNED")</f>
        <v/>
      </c>
      <c r="C38" s="22" t="inlineStr">
        <is>
          <t>Blue King superior brass water gun without trigger protection, blue with KING logo</t>
        </is>
      </c>
      <c r="D38" s="23" t="inlineStr">
        <is>
          <t>Blue King WD gun, w/o trigger guard, KING logo, blue, brass</t>
        </is>
      </c>
      <c r="E38" s="24" t="n">
        <v>0.706</v>
      </c>
      <c r="F38" s="25" t="inlineStr">
        <is>
          <t>Cat p.6 - same gun as AKMN011-B, logo only</t>
        </is>
      </c>
      <c r="G38" s="26" t="n">
        <v>27.108378</v>
      </c>
      <c r="H38" s="26" t="n">
        <v>24.096336</v>
      </c>
      <c r="I38" s="27" t="n"/>
      <c r="J38" s="28">
        <f>IF(G38="","",G38/$C$5*(1+$C$8)+$E38*(1+$C$7)*$C$6)</f>
        <v/>
      </c>
      <c r="K38" s="28">
        <f>IF(H38="","",H38/$C$5*(1+$C$8)+$E38*(1+$C$7)*$C$6)</f>
        <v/>
      </c>
      <c r="L38" s="28">
        <f>IF(I38="","",I38/$C$5*(1+$C$8)+$E38*(1+$C$7)*$C$6)</f>
        <v/>
      </c>
      <c r="M38" s="29">
        <f>IF(J38="","",ROUND(J38*(1+$C$9),2))</f>
        <v/>
      </c>
      <c r="N38" s="29">
        <f>IF(K38="","",ROUND(K38*(1+$C$9),2))</f>
        <v/>
      </c>
      <c r="O38" s="29">
        <f>IF(L38="","",ROUND(L38*(1+$C$9),2))</f>
        <v/>
      </c>
      <c r="P38" s="30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  <c r="R38" s="31" t="n"/>
      <c r="S38" s="8" t="n"/>
      <c r="T38" s="29">
        <f>IF($R38="","",ROUND($R38*(1-N($S38)),2))</f>
        <v/>
      </c>
      <c r="U38" s="32">
        <f>IF(OR($T38="",$T38=0,$J38=""),"",($T38-$J38)/$T38)</f>
        <v/>
      </c>
      <c r="V38" s="32">
        <f>IF(OR($T38="",$T38=0,$K38=""),"",($T38-$K38)/$T38)</f>
        <v/>
      </c>
    </row>
    <row r="39">
      <c r="A39" s="20" t="inlineStr">
        <is>
          <t>AKMNP11-B</t>
        </is>
      </c>
      <c r="B39" s="21">
        <f>IFERROR(INDEX(Conversion!$C$2:$C$500,MATCH($A39,Conversion!$B$2:$B$500,0)),"NOT ASSIGNED")</f>
        <v/>
      </c>
      <c r="C39" s="22" t="inlineStr">
        <is>
          <t>Blue King superior brass water gun with trigger protection, blue</t>
        </is>
      </c>
      <c r="D39" s="23" t="inlineStr">
        <is>
          <t>Blue King WD gun, w/ trigger guard, blue, brass</t>
        </is>
      </c>
      <c r="E39" s="24" t="n">
        <v>0.88</v>
      </c>
      <c r="F39" s="25" t="inlineStr">
        <is>
          <t>Cat p.6</t>
        </is>
      </c>
      <c r="G39" s="26" t="n">
        <v>35.288352</v>
      </c>
      <c r="H39" s="26" t="n">
        <v>31.367424</v>
      </c>
      <c r="I39" s="27" t="n"/>
      <c r="J39" s="28">
        <f>IF(G39="","",G39/$C$5*(1+$C$8)+$E39*(1+$C$7)*$C$6)</f>
        <v/>
      </c>
      <c r="K39" s="28">
        <f>IF(H39="","",H39/$C$5*(1+$C$8)+$E39*(1+$C$7)*$C$6)</f>
        <v/>
      </c>
      <c r="L39" s="28">
        <f>IF(I39="","",I39/$C$5*(1+$C$8)+$E39*(1+$C$7)*$C$6)</f>
        <v/>
      </c>
      <c r="M39" s="29">
        <f>IF(J39="","",ROUND(J39*(1+$C$9),2))</f>
        <v/>
      </c>
      <c r="N39" s="29">
        <f>IF(K39="","",ROUND(K39*(1+$C$9),2))</f>
        <v/>
      </c>
      <c r="O39" s="29">
        <f>IF(L39="","",ROUND(L39*(1+$C$9),2))</f>
        <v/>
      </c>
      <c r="P39" s="30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  <c r="R39" s="31" t="n"/>
      <c r="S39" s="8" t="n"/>
      <c r="T39" s="29">
        <f>IF($R39="","",ROUND($R39*(1-N($S39)),2))</f>
        <v/>
      </c>
      <c r="U39" s="32">
        <f>IF(OR($T39="",$T39=0,$J39=""),"",($T39-$J39)/$T39)</f>
        <v/>
      </c>
      <c r="V39" s="32">
        <f>IF(OR($T39="",$T39=0,$K39=""),"",($T39-$K39)/$T39)</f>
        <v/>
      </c>
    </row>
    <row r="40">
      <c r="A40" s="20" t="inlineStr">
        <is>
          <t>AKMNP11-B-KING</t>
        </is>
      </c>
      <c r="B40" s="21">
        <f>IFERROR(INDEX(Conversion!$C$2:$C$500,MATCH($A40,Conversion!$B$2:$B$500,0)),"NOT ASSIGNED")</f>
        <v/>
      </c>
      <c r="C40" s="22" t="inlineStr">
        <is>
          <t>Blue King superior brass water gun with trigger protection, blue with KING logo</t>
        </is>
      </c>
      <c r="D40" s="23" t="inlineStr">
        <is>
          <t>Blue King WD gun, w/ trigger guard, KING logo, blue, brass</t>
        </is>
      </c>
      <c r="E40" s="24" t="n">
        <v>0.88</v>
      </c>
      <c r="F40" s="25" t="inlineStr">
        <is>
          <t>Cat p.6 - same gun as AKMNP11-B, logo only</t>
        </is>
      </c>
      <c r="G40" s="26" t="n">
        <v>35.390718</v>
      </c>
      <c r="H40" s="26" t="n">
        <v>31.458416</v>
      </c>
      <c r="I40" s="27" t="n"/>
      <c r="J40" s="28">
        <f>IF(G40="","",G40/$C$5*(1+$C$8)+$E40*(1+$C$7)*$C$6)</f>
        <v/>
      </c>
      <c r="K40" s="28">
        <f>IF(H40="","",H40/$C$5*(1+$C$8)+$E40*(1+$C$7)*$C$6)</f>
        <v/>
      </c>
      <c r="L40" s="28">
        <f>IF(I40="","",I40/$C$5*(1+$C$8)+$E40*(1+$C$7)*$C$6)</f>
        <v/>
      </c>
      <c r="M40" s="29">
        <f>IF(J40="","",ROUND(J40*(1+$C$9),2))</f>
        <v/>
      </c>
      <c r="N40" s="29">
        <f>IF(K40="","",ROUND(K40*(1+$C$9),2))</f>
        <v/>
      </c>
      <c r="O40" s="29">
        <f>IF(L40="","",ROUND(L40*(1+$C$9),2))</f>
        <v/>
      </c>
      <c r="P40" s="30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  <c r="R40" s="31" t="n"/>
      <c r="S40" s="8" t="n"/>
      <c r="T40" s="29">
        <f>IF($R40="","",ROUND($R40*(1-N($S40)),2))</f>
        <v/>
      </c>
      <c r="U40" s="32">
        <f>IF(OR($T40="",$T40=0,$J40=""),"",($T40-$J40)/$T40)</f>
        <v/>
      </c>
      <c r="V40" s="32">
        <f>IF(OR($T40="",$T40=0,$K40=""),"",($T40-$K40)/$T40)</f>
        <v/>
      </c>
    </row>
    <row r="41"/>
    <row r="42">
      <c r="A42" s="20" t="inlineStr">
        <is>
          <t>AKMB001-BL</t>
        </is>
      </c>
      <c r="B42" s="21">
        <f>IFERROR(INDEX(Conversion!$C$2:$C$500,MATCH($A42,Conversion!$B$2:$B$500,0)),"NOT ASSIGNED")</f>
        <v/>
      </c>
      <c r="C42" s="22" t="inlineStr">
        <is>
          <t>Brass water gun, big flow, black</t>
        </is>
      </c>
      <c r="D42" s="23" t="inlineStr">
        <is>
          <t>Classic High-Flow WD gun, w/o trigger guard, black, brass</t>
        </is>
      </c>
      <c r="E42" s="24" t="n">
        <v>0.84</v>
      </c>
      <c r="F42" s="25" t="inlineStr">
        <is>
          <t>Cat p.20</t>
        </is>
      </c>
      <c r="G42" s="26" t="n">
        <v>36.4485</v>
      </c>
      <c r="H42" s="26" t="n">
        <v>32.81</v>
      </c>
      <c r="I42" s="27" t="n"/>
      <c r="J42" s="28">
        <f>IF(G42="","",G42/$C$5*(1+$C$8)+$E42*(1+$C$7)*$C$6)</f>
        <v/>
      </c>
      <c r="K42" s="28">
        <f>IF(H42="","",H42/$C$5*(1+$C$8)+$E42*(1+$C$7)*$C$6)</f>
        <v/>
      </c>
      <c r="L42" s="28">
        <f>IF(I42="","",I42/$C$5*(1+$C$8)+$E42*(1+$C$7)*$C$6)</f>
        <v/>
      </c>
      <c r="M42" s="29">
        <f>IF(J42="","",ROUND(J42*(1+$C$9),2))</f>
        <v/>
      </c>
      <c r="N42" s="29">
        <f>IF(K42="","",ROUND(K42*(1+$C$9),2))</f>
        <v/>
      </c>
      <c r="O42" s="29">
        <f>IF(L42="","",ROUND(L42*(1+$C$9),2))</f>
        <v/>
      </c>
      <c r="P42" s="30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  <c r="R42" s="31" t="n"/>
      <c r="S42" s="8" t="n"/>
      <c r="T42" s="29">
        <f>IF($R42="","",ROUND($R42*(1-N($S42)),2))</f>
        <v/>
      </c>
      <c r="U42" s="32">
        <f>IF(OR($T42="",$T42=0,$J42=""),"",($T42-$J42)/$T42)</f>
        <v/>
      </c>
      <c r="V42" s="32">
        <f>IF(OR($T42="",$T42=0,$K42=""),"",($T42-$K42)/$T42)</f>
        <v/>
      </c>
    </row>
    <row r="43">
      <c r="A43" s="20" t="inlineStr">
        <is>
          <t>AKMBP01-BL</t>
        </is>
      </c>
      <c r="B43" s="21">
        <f>IFERROR(INDEX(Conversion!$C$2:$C$500,MATCH($A43,Conversion!$B$2:$B$500,0)),"NOT ASSIGNED")</f>
        <v/>
      </c>
      <c r="C43" s="22" t="inlineStr">
        <is>
          <t>Brass water gun, big flow, with trigger protection, black</t>
        </is>
      </c>
      <c r="D43" s="23" t="inlineStr">
        <is>
          <t>Classic High-Flow WD gun, w/ trigger guard, black, brass</t>
        </is>
      </c>
      <c r="E43" s="33" t="n">
        <v>1.036</v>
      </c>
      <c r="F43" s="25" t="inlineStr">
        <is>
          <t>ESTIMATE - not tabulated; AKMB001-BL + trigger guard (AKMN delta)</t>
        </is>
      </c>
      <c r="G43" s="26" t="n">
        <v>38.88874</v>
      </c>
      <c r="H43" s="26" t="n">
        <v>35</v>
      </c>
      <c r="I43" s="27" t="n"/>
      <c r="J43" s="28">
        <f>IF(G43="","",G43/$C$5*(1+$C$8)+$E43*(1+$C$7)*$C$6)</f>
        <v/>
      </c>
      <c r="K43" s="28">
        <f>IF(H43="","",H43/$C$5*(1+$C$8)+$E43*(1+$C$7)*$C$6)</f>
        <v/>
      </c>
      <c r="L43" s="28">
        <f>IF(I43="","",I43/$C$5*(1+$C$8)+$E43*(1+$C$7)*$C$6)</f>
        <v/>
      </c>
      <c r="M43" s="29">
        <f>IF(J43="","",ROUND(J43*(1+$C$9),2))</f>
        <v/>
      </c>
      <c r="N43" s="29">
        <f>IF(K43="","",ROUND(K43*(1+$C$9),2))</f>
        <v/>
      </c>
      <c r="O43" s="29">
        <f>IF(L43="","",ROUND(L43*(1+$C$9),2))</f>
        <v/>
      </c>
      <c r="P43" s="30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  <c r="R43" s="31" t="n"/>
      <c r="S43" s="8" t="n"/>
      <c r="T43" s="29">
        <f>IF($R43="","",ROUND($R43*(1-N($S43)),2))</f>
        <v/>
      </c>
      <c r="U43" s="32">
        <f>IF(OR($T43="",$T43=0,$J43=""),"",($T43-$J43)/$T43)</f>
        <v/>
      </c>
      <c r="V43" s="32">
        <f>IF(OR($T43="",$T43=0,$K43=""),"",($T43-$K43)/$T43)</f>
        <v/>
      </c>
    </row>
    <row r="44">
      <c r="A44" s="20" t="inlineStr">
        <is>
          <t>AKRB001-BL</t>
        </is>
      </c>
      <c r="B44" s="21">
        <f>IFERROR(INDEX(Conversion!$C$2:$C$500,MATCH($A44,Conversion!$B$2:$B$500,0)),"NOT ASSIGNED")</f>
        <v/>
      </c>
      <c r="C44" s="22" t="inlineStr">
        <is>
          <t>Stainless steel water gun, high flow, black</t>
        </is>
      </c>
      <c r="D44" s="23" t="inlineStr">
        <is>
          <t>Classic High-Flow WD gun, w/o trigger guard, black, stainless steel 316</t>
        </is>
      </c>
      <c r="E44" s="33" t="n">
        <v>0.84</v>
      </c>
      <c r="F44" s="25" t="inlineStr">
        <is>
          <t>ESTIMATE - not tabulated; taken as AKMB001-BL</t>
        </is>
      </c>
      <c r="G44" s="26" t="n">
        <v>84.8</v>
      </c>
      <c r="H44" s="26" t="n">
        <v>75.38</v>
      </c>
      <c r="I44" s="27" t="n"/>
      <c r="J44" s="28">
        <f>IF(G44="","",G44/$C$5*(1+$C$8)+$E44*(1+$C$7)*$C$6)</f>
        <v/>
      </c>
      <c r="K44" s="28">
        <f>IF(H44="","",H44/$C$5*(1+$C$8)+$E44*(1+$C$7)*$C$6)</f>
        <v/>
      </c>
      <c r="L44" s="28">
        <f>IF(I44="","",I44/$C$5*(1+$C$8)+$E44*(1+$C$7)*$C$6)</f>
        <v/>
      </c>
      <c r="M44" s="29">
        <f>IF(J44="","",ROUND(J44*(1+$C$9),2))</f>
        <v/>
      </c>
      <c r="N44" s="29">
        <f>IF(K44="","",ROUND(K44*(1+$C$9),2))</f>
        <v/>
      </c>
      <c r="O44" s="29">
        <f>IF(L44="","",ROUND(L44*(1+$C$9),2))</f>
        <v/>
      </c>
      <c r="P44" s="30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  <c r="R44" s="31" t="n"/>
      <c r="S44" s="8" t="n"/>
      <c r="T44" s="29">
        <f>IF($R44="","",ROUND($R44*(1-N($S44)),2))</f>
        <v/>
      </c>
      <c r="U44" s="32">
        <f>IF(OR($T44="",$T44=0,$J44=""),"",($T44-$J44)/$T44)</f>
        <v/>
      </c>
      <c r="V44" s="32">
        <f>IF(OR($T44="",$T44=0,$K44=""),"",($T44-$K44)/$T44)</f>
        <v/>
      </c>
    </row>
    <row r="45"/>
    <row r="46">
      <c r="A46" s="20" t="inlineStr">
        <is>
          <t>AKCN001-B</t>
        </is>
      </c>
      <c r="B46" s="21">
        <f>IFERROR(INDEX(Conversion!$C$2:$C$500,MATCH($A46,Conversion!$B$2:$B$500,0)),"NOT ASSIGNED")</f>
        <v/>
      </c>
      <c r="C46" s="22" t="inlineStr">
        <is>
          <t>Chrome plated brass water gun, blue</t>
        </is>
      </c>
      <c r="D46" s="23" t="inlineStr">
        <is>
          <t>Classic Protection Plus WD gun, w/o trigger guard, blue, chrome-plated brass</t>
        </is>
      </c>
      <c r="E46" s="24" t="n">
        <v>0.867</v>
      </c>
      <c r="F46" s="25" t="inlineStr">
        <is>
          <t>Cat p.13</t>
        </is>
      </c>
      <c r="G46" s="26" t="n">
        <v>36.69</v>
      </c>
      <c r="H46" s="26" t="n">
        <v>32.62</v>
      </c>
      <c r="I46" s="27" t="n"/>
      <c r="J46" s="28">
        <f>IF(G46="","",G46/$C$5*(1+$C$8)+$E46*(1+$C$7)*$C$6)</f>
        <v/>
      </c>
      <c r="K46" s="28">
        <f>IF(H46="","",H46/$C$5*(1+$C$8)+$E46*(1+$C$7)*$C$6)</f>
        <v/>
      </c>
      <c r="L46" s="28">
        <f>IF(I46="","",I46/$C$5*(1+$C$8)+$E46*(1+$C$7)*$C$6)</f>
        <v/>
      </c>
      <c r="M46" s="29">
        <f>IF(J46="","",ROUND(J46*(1+$C$9),2))</f>
        <v/>
      </c>
      <c r="N46" s="29">
        <f>IF(K46="","",ROUND(K46*(1+$C$9),2))</f>
        <v/>
      </c>
      <c r="O46" s="29">
        <f>IF(L46="","",ROUND(L46*(1+$C$9),2))</f>
        <v/>
      </c>
      <c r="P46" s="30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  <c r="R46" s="31" t="n"/>
      <c r="S46" s="8" t="n"/>
      <c r="T46" s="29">
        <f>IF($R46="","",ROUND($R46*(1-N($S46)),2))</f>
        <v/>
      </c>
      <c r="U46" s="32">
        <f>IF(OR($T46="",$T46=0,$J46=""),"",($T46-$J46)/$T46)</f>
        <v/>
      </c>
      <c r="V46" s="32">
        <f>IF(OR($T46="",$T46=0,$K46=""),"",($T46-$K46)/$T46)</f>
        <v/>
      </c>
    </row>
    <row r="47">
      <c r="A47" s="20" t="inlineStr">
        <is>
          <t>AKCNP01-B</t>
        </is>
      </c>
      <c r="B47" s="21">
        <f>IFERROR(INDEX(Conversion!$C$2:$C$500,MATCH($A47,Conversion!$B$2:$B$500,0)),"NOT ASSIGNED")</f>
        <v/>
      </c>
      <c r="C47" s="22" t="inlineStr">
        <is>
          <t>Chrome plated brass water gun, with trigger protection, blue</t>
        </is>
      </c>
      <c r="D47" s="23" t="inlineStr">
        <is>
          <t>Classic Protection Plus WD gun, w/ trigger guard, blue, chrome-plated brass</t>
        </is>
      </c>
      <c r="E47" s="24" t="n">
        <v>1.016</v>
      </c>
      <c r="F47" s="25" t="inlineStr">
        <is>
          <t>Cat p.13</t>
        </is>
      </c>
      <c r="G47" s="26" t="n">
        <v>38.93</v>
      </c>
      <c r="H47" s="26" t="n">
        <v>34.6</v>
      </c>
      <c r="I47" s="27" t="n"/>
      <c r="J47" s="28">
        <f>IF(G47="","",G47/$C$5*(1+$C$8)+$E47*(1+$C$7)*$C$6)</f>
        <v/>
      </c>
      <c r="K47" s="28">
        <f>IF(H47="","",H47/$C$5*(1+$C$8)+$E47*(1+$C$7)*$C$6)</f>
        <v/>
      </c>
      <c r="L47" s="28">
        <f>IF(I47="","",I47/$C$5*(1+$C$8)+$E47*(1+$C$7)*$C$6)</f>
        <v/>
      </c>
      <c r="M47" s="29">
        <f>IF(J47="","",ROUND(J47*(1+$C$9),2))</f>
        <v/>
      </c>
      <c r="N47" s="29">
        <f>IF(K47="","",ROUND(K47*(1+$C$9),2))</f>
        <v/>
      </c>
      <c r="O47" s="29">
        <f>IF(L47="","",ROUND(L47*(1+$C$9),2))</f>
        <v/>
      </c>
      <c r="P47" s="30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  <c r="R47" s="31" t="n"/>
      <c r="S47" s="8" t="n"/>
      <c r="T47" s="29">
        <f>IF($R47="","",ROUND($R47*(1-N($S47)),2))</f>
        <v/>
      </c>
      <c r="U47" s="32">
        <f>IF(OR($T47="",$T47=0,$J47=""),"",($T47-$J47)/$T47)</f>
        <v/>
      </c>
      <c r="V47" s="32">
        <f>IF(OR($T47="",$T47=0,$K47=""),"",($T47-$K47)/$T47)</f>
        <v/>
      </c>
    </row>
    <row r="48">
      <c r="A48" s="20" t="inlineStr">
        <is>
          <t>AKCNP01-W</t>
        </is>
      </c>
      <c r="B48" s="21">
        <f>IFERROR(INDEX(Conversion!$C$2:$C$500,MATCH($A48,Conversion!$B$2:$B$500,0)),"NOT ASSIGNED")</f>
        <v/>
      </c>
      <c r="C48" s="22" t="inlineStr">
        <is>
          <t>Chrome plated brass water gun, with trigger protection, white</t>
        </is>
      </c>
      <c r="D48" s="23" t="inlineStr">
        <is>
          <t>Classic Protection Plus WD gun, w/ trigger guard, white, chrome-plated brass</t>
        </is>
      </c>
      <c r="E48" s="24" t="n">
        <v>1.016</v>
      </c>
      <c r="F48" s="25" t="inlineStr">
        <is>
          <t>Cat p.13</t>
        </is>
      </c>
      <c r="G48" s="26" t="n">
        <v>38.93</v>
      </c>
      <c r="H48" s="26" t="n">
        <v>34.6</v>
      </c>
      <c r="I48" s="27" t="n"/>
      <c r="J48" s="28">
        <f>IF(G48="","",G48/$C$5*(1+$C$8)+$E48*(1+$C$7)*$C$6)</f>
        <v/>
      </c>
      <c r="K48" s="28">
        <f>IF(H48="","",H48/$C$5*(1+$C$8)+$E48*(1+$C$7)*$C$6)</f>
        <v/>
      </c>
      <c r="L48" s="28">
        <f>IF(I48="","",I48/$C$5*(1+$C$8)+$E48*(1+$C$7)*$C$6)</f>
        <v/>
      </c>
      <c r="M48" s="29">
        <f>IF(J48="","",ROUND(J48*(1+$C$9),2))</f>
        <v/>
      </c>
      <c r="N48" s="29">
        <f>IF(K48="","",ROUND(K48*(1+$C$9),2))</f>
        <v/>
      </c>
      <c r="O48" s="29">
        <f>IF(L48="","",ROUND(L48*(1+$C$9),2))</f>
        <v/>
      </c>
      <c r="P48" s="30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  <c r="R48" s="31" t="n"/>
      <c r="S48" s="8" t="n"/>
      <c r="T48" s="29">
        <f>IF($R48="","",ROUND($R48*(1-N($S48)),2))</f>
        <v/>
      </c>
      <c r="U48" s="32">
        <f>IF(OR($T48="",$T48=0,$J48=""),"",($T48-$J48)/$T48)</f>
        <v/>
      </c>
      <c r="V48" s="32">
        <f>IF(OR($T48="",$T48=0,$K48=""),"",($T48-$K48)/$T48)</f>
        <v/>
      </c>
    </row>
    <row r="49"/>
    <row r="50">
      <c r="A50" s="20" t="inlineStr">
        <is>
          <t>BRFT003-B</t>
        </is>
      </c>
      <c r="B50" s="21">
        <f>IFERROR(INDEX(Conversion!$C$2:$C$500,MATCH($A50,Conversion!$B$2:$B$500,0)),"NOT ASSIGNED")</f>
        <v/>
      </c>
      <c r="C50" s="22" t="inlineStr">
        <is>
          <t>Blue Princess economic stainless steel water gun, blue</t>
        </is>
      </c>
      <c r="D50" s="23" t="inlineStr">
        <is>
          <t>Blue Princess WD gun, w/o trigger guard, blue, stainless steel 316</t>
        </is>
      </c>
      <c r="E50" s="24" t="n">
        <v>0.48</v>
      </c>
      <c r="F50" s="25" t="inlineStr">
        <is>
          <t>Cat p.C</t>
        </is>
      </c>
      <c r="G50" s="26" t="n">
        <v>55.165968</v>
      </c>
      <c r="H50" s="26" t="n">
        <v>49.036416</v>
      </c>
      <c r="I50" s="27" t="n"/>
      <c r="J50" s="28">
        <f>IF(G50="","",G50/$C$5*(1+$C$8)+$E50*(1+$C$7)*$C$6)</f>
        <v/>
      </c>
      <c r="K50" s="28">
        <f>IF(H50="","",H50/$C$5*(1+$C$8)+$E50*(1+$C$7)*$C$6)</f>
        <v/>
      </c>
      <c r="L50" s="28">
        <f>IF(I50="","",I50/$C$5*(1+$C$8)+$E50*(1+$C$7)*$C$6)</f>
        <v/>
      </c>
      <c r="M50" s="29">
        <f>IF(J50="","",ROUND(J50*(1+$C$9),2))</f>
        <v/>
      </c>
      <c r="N50" s="29">
        <f>IF(K50="","",ROUND(K50*(1+$C$9),2))</f>
        <v/>
      </c>
      <c r="O50" s="29">
        <f>IF(L50="","",ROUND(L50*(1+$C$9),2))</f>
        <v/>
      </c>
      <c r="P50" s="30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  <c r="R50" s="31" t="n"/>
      <c r="S50" s="8" t="n"/>
      <c r="T50" s="29">
        <f>IF($R50="","",ROUND($R50*(1-N($S50)),2))</f>
        <v/>
      </c>
      <c r="U50" s="32">
        <f>IF(OR($T50="",$T50=0,$J50=""),"",($T50-$J50)/$T50)</f>
        <v/>
      </c>
      <c r="V50" s="32">
        <f>IF(OR($T50="",$T50=0,$K50=""),"",($T50-$K50)/$T50)</f>
        <v/>
      </c>
    </row>
    <row r="51">
      <c r="A51" s="20" t="inlineStr">
        <is>
          <t>BRFT003-B-PRIN</t>
        </is>
      </c>
      <c r="B51" s="21">
        <f>IFERROR(INDEX(Conversion!$C$2:$C$500,MATCH($A51,Conversion!$B$2:$B$500,0)),"NOT ASSIGNED")</f>
        <v/>
      </c>
      <c r="C51" s="22" t="inlineStr">
        <is>
          <t>Blue Princess economic stainless steel water gun, blue with PRINCESS logo</t>
        </is>
      </c>
      <c r="D51" s="23" t="inlineStr">
        <is>
          <t>Blue Princess WD gun, w/o trigger guard, PRINCESS logo, blue, stainless steel 316</t>
        </is>
      </c>
      <c r="E51" s="24" t="n">
        <v>0.48</v>
      </c>
      <c r="F51" s="25" t="inlineStr">
        <is>
          <t>Cat p.C - same gun as BRFT003-B, logo only</t>
        </is>
      </c>
      <c r="G51" s="26" t="n">
        <v>55.212498</v>
      </c>
      <c r="H51" s="26" t="n">
        <v>49.077776</v>
      </c>
      <c r="I51" s="27" t="n"/>
      <c r="J51" s="28">
        <f>IF(G51="","",G51/$C$5*(1+$C$8)+$E51*(1+$C$7)*$C$6)</f>
        <v/>
      </c>
      <c r="K51" s="28">
        <f>IF(H51="","",H51/$C$5*(1+$C$8)+$E51*(1+$C$7)*$C$6)</f>
        <v/>
      </c>
      <c r="L51" s="28">
        <f>IF(I51="","",I51/$C$5*(1+$C$8)+$E51*(1+$C$7)*$C$6)</f>
        <v/>
      </c>
      <c r="M51" s="29">
        <f>IF(J51="","",ROUND(J51*(1+$C$9),2))</f>
        <v/>
      </c>
      <c r="N51" s="29">
        <f>IF(K51="","",ROUND(K51*(1+$C$9),2))</f>
        <v/>
      </c>
      <c r="O51" s="29">
        <f>IF(L51="","",ROUND(L51*(1+$C$9),2))</f>
        <v/>
      </c>
      <c r="P51" s="30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  <c r="R51" s="31" t="n"/>
      <c r="S51" s="8" t="n"/>
      <c r="T51" s="29">
        <f>IF($R51="","",ROUND($R51*(1-N($S51)),2))</f>
        <v/>
      </c>
      <c r="U51" s="32">
        <f>IF(OR($T51="",$T51=0,$J51=""),"",($T51-$J51)/$T51)</f>
        <v/>
      </c>
      <c r="V51" s="32">
        <f>IF(OR($T51="",$T51=0,$K51=""),"",($T51-$K51)/$T51)</f>
        <v/>
      </c>
    </row>
    <row r="52">
      <c r="A52" s="20" t="inlineStr">
        <is>
          <t>BRFTP03-B-PRIN</t>
        </is>
      </c>
      <c r="B52" s="21">
        <f>IFERROR(INDEX(Conversion!$C$2:$C$500,MATCH($A52,Conversion!$B$2:$B$500,0)),"NOT ASSIGNED")</f>
        <v/>
      </c>
      <c r="C52" s="22" t="inlineStr">
        <is>
          <t>Blue Princess economic stainless steel water gun, with trigger guard and insulation trigger, bue with Princess logo</t>
        </is>
      </c>
      <c r="D52" s="23" t="inlineStr">
        <is>
          <t>Blue Princess WD gun, w/ trigger guard, PRINCESS logo, blue, stainless steel 316</t>
        </is>
      </c>
      <c r="E52" s="24" t="n">
        <v>0.62</v>
      </c>
      <c r="F52" s="25" t="inlineStr">
        <is>
          <t>Cat p.C (catalogue code BRFTP13-B-PRIN)</t>
        </is>
      </c>
      <c r="G52" s="26" t="n">
        <v>71.127</v>
      </c>
      <c r="H52" s="26" t="n">
        <v>63.224</v>
      </c>
      <c r="I52" s="27" t="n"/>
      <c r="J52" s="28">
        <f>IF(G52="","",G52/$C$5*(1+$C$8)+$E52*(1+$C$7)*$C$6)</f>
        <v/>
      </c>
      <c r="K52" s="28">
        <f>IF(H52="","",H52/$C$5*(1+$C$8)+$E52*(1+$C$7)*$C$6)</f>
        <v/>
      </c>
      <c r="L52" s="28">
        <f>IF(I52="","",I52/$C$5*(1+$C$8)+$E52*(1+$C$7)*$C$6)</f>
        <v/>
      </c>
      <c r="M52" s="29">
        <f>IF(J52="","",ROUND(J52*(1+$C$9),2))</f>
        <v/>
      </c>
      <c r="N52" s="29">
        <f>IF(K52="","",ROUND(K52*(1+$C$9),2))</f>
        <v/>
      </c>
      <c r="O52" s="29">
        <f>IF(L52="","",ROUND(L52*(1+$C$9),2))</f>
        <v/>
      </c>
      <c r="P52" s="30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  <c r="R52" s="31" t="n"/>
      <c r="S52" s="8" t="n"/>
      <c r="T52" s="29">
        <f>IF($R52="","",ROUND($R52*(1-N($S52)),2))</f>
        <v/>
      </c>
      <c r="U52" s="32">
        <f>IF(OR($T52="",$T52=0,$J52=""),"",($T52-$J52)/$T52)</f>
        <v/>
      </c>
      <c r="V52" s="32">
        <f>IF(OR($T52="",$T52=0,$K52=""),"",($T52-$K52)/$T52)</f>
        <v/>
      </c>
    </row>
    <row r="53">
      <c r="A53" s="20" t="inlineStr">
        <is>
          <t>AKRN001-B</t>
        </is>
      </c>
      <c r="B53" s="21">
        <f>IFERROR(INDEX(Conversion!$C$2:$C$500,MATCH($A53,Conversion!$B$2:$B$500,0)),"NOT ASSIGNED")</f>
        <v/>
      </c>
      <c r="C53" s="22" t="inlineStr">
        <is>
          <t>St.st. water gun, blue</t>
        </is>
      </c>
      <c r="D53" s="23" t="inlineStr">
        <is>
          <t>Classic SS WD gun, w/o trigger guard, blue, stainless steel 316</t>
        </is>
      </c>
      <c r="E53" s="24" t="n">
        <v>0.8129999999999999</v>
      </c>
      <c r="F53" s="25" t="inlineStr">
        <is>
          <t>Cat p.15</t>
        </is>
      </c>
      <c r="G53" s="26" t="n">
        <v>80.06882400000001</v>
      </c>
      <c r="H53" s="26" t="n">
        <v>71.18000000000001</v>
      </c>
      <c r="I53" s="27" t="n"/>
      <c r="J53" s="28">
        <f>IF(G53="","",G53/$C$5*(1+$C$8)+$E53*(1+$C$7)*$C$6)</f>
        <v/>
      </c>
      <c r="K53" s="28">
        <f>IF(H53="","",H53/$C$5*(1+$C$8)+$E53*(1+$C$7)*$C$6)</f>
        <v/>
      </c>
      <c r="L53" s="28">
        <f>IF(I53="","",I53/$C$5*(1+$C$8)+$E53*(1+$C$7)*$C$6)</f>
        <v/>
      </c>
      <c r="M53" s="29">
        <f>IF(J53="","",ROUND(J53*(1+$C$9),2))</f>
        <v/>
      </c>
      <c r="N53" s="29">
        <f>IF(K53="","",ROUND(K53*(1+$C$9),2))</f>
        <v/>
      </c>
      <c r="O53" s="29">
        <f>IF(L53="","",ROUND(L53*(1+$C$9),2))</f>
        <v/>
      </c>
      <c r="P53" s="30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  <c r="R53" s="31" t="n"/>
      <c r="S53" s="8" t="n"/>
      <c r="T53" s="29">
        <f>IF($R53="","",ROUND($R53*(1-N($S53)),2))</f>
        <v/>
      </c>
      <c r="U53" s="32">
        <f>IF(OR($T53="",$T53=0,$J53=""),"",($T53-$J53)/$T53)</f>
        <v/>
      </c>
      <c r="V53" s="32">
        <f>IF(OR($T53="",$T53=0,$K53=""),"",($T53-$K53)/$T53)</f>
        <v/>
      </c>
    </row>
    <row r="54">
      <c r="A54" s="20" t="inlineStr">
        <is>
          <t>AKRN001-W</t>
        </is>
      </c>
      <c r="B54" s="21">
        <f>IFERROR(INDEX(Conversion!$C$2:$C$500,MATCH($A54,Conversion!$B$2:$B$500,0)),"NOT ASSIGNED")</f>
        <v/>
      </c>
      <c r="C54" s="22" t="inlineStr">
        <is>
          <t>St.st. water gun, white</t>
        </is>
      </c>
      <c r="D54" s="23" t="inlineStr">
        <is>
          <t>Classic SS WD gun, w/o trigger guard, white, stainless steel 316</t>
        </is>
      </c>
      <c r="E54" s="24" t="n">
        <v>0.8129999999999999</v>
      </c>
      <c r="F54" s="25" t="inlineStr">
        <is>
          <t>Cat p.15</t>
        </is>
      </c>
      <c r="G54" s="26" t="n">
        <v>80.06882400000001</v>
      </c>
      <c r="H54" s="26" t="n">
        <v>71.18000000000001</v>
      </c>
      <c r="I54" s="27" t="n"/>
      <c r="J54" s="28">
        <f>IF(G54="","",G54/$C$5*(1+$C$8)+$E54*(1+$C$7)*$C$6)</f>
        <v/>
      </c>
      <c r="K54" s="28">
        <f>IF(H54="","",H54/$C$5*(1+$C$8)+$E54*(1+$C$7)*$C$6)</f>
        <v/>
      </c>
      <c r="L54" s="28">
        <f>IF(I54="","",I54/$C$5*(1+$C$8)+$E54*(1+$C$7)*$C$6)</f>
        <v/>
      </c>
      <c r="M54" s="29">
        <f>IF(J54="","",ROUND(J54*(1+$C$9),2))</f>
        <v/>
      </c>
      <c r="N54" s="29">
        <f>IF(K54="","",ROUND(K54*(1+$C$9),2))</f>
        <v/>
      </c>
      <c r="O54" s="29">
        <f>IF(L54="","",ROUND(L54*(1+$C$9),2))</f>
        <v/>
      </c>
      <c r="P54" s="30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  <c r="R54" s="31" t="n"/>
      <c r="S54" s="8" t="n"/>
      <c r="T54" s="29">
        <f>IF($R54="","",ROUND($R54*(1-N($S54)),2))</f>
        <v/>
      </c>
      <c r="U54" s="32">
        <f>IF(OR($T54="",$T54=0,$J54=""),"",($T54-$J54)/$T54)</f>
        <v/>
      </c>
      <c r="V54" s="32">
        <f>IF(OR($T54="",$T54=0,$K54=""),"",($T54-$K54)/$T54)</f>
        <v/>
      </c>
    </row>
    <row r="55">
      <c r="A55" s="20" t="inlineStr">
        <is>
          <t>AKRNP01-B</t>
        </is>
      </c>
      <c r="B55" s="21">
        <f>IFERROR(INDEX(Conversion!$C$2:$C$500,MATCH($A55,Conversion!$B$2:$B$500,0)),"NOT ASSIGNED")</f>
        <v/>
      </c>
      <c r="C55" s="22" t="inlineStr">
        <is>
          <t>St.st. water gun, with trigger protection, blue</t>
        </is>
      </c>
      <c r="D55" s="23" t="inlineStr">
        <is>
          <t>Classic SS WD gun, w/ trigger guard, blue, stainless steel 316</t>
        </is>
      </c>
      <c r="E55" s="24" t="n">
        <v>0.983</v>
      </c>
      <c r="F55" s="25" t="inlineStr">
        <is>
          <t>Cat p.15</t>
        </is>
      </c>
      <c r="G55" s="26" t="n">
        <v>82.562832</v>
      </c>
      <c r="H55" s="26" t="n">
        <v>73.39</v>
      </c>
      <c r="I55" s="27" t="n"/>
      <c r="J55" s="28">
        <f>IF(G55="","",G55/$C$5*(1+$C$8)+$E55*(1+$C$7)*$C$6)</f>
        <v/>
      </c>
      <c r="K55" s="28">
        <f>IF(H55="","",H55/$C$5*(1+$C$8)+$E55*(1+$C$7)*$C$6)</f>
        <v/>
      </c>
      <c r="L55" s="28">
        <f>IF(I55="","",I55/$C$5*(1+$C$8)+$E55*(1+$C$7)*$C$6)</f>
        <v/>
      </c>
      <c r="M55" s="29">
        <f>IF(J55="","",ROUND(J55*(1+$C$9),2))</f>
        <v/>
      </c>
      <c r="N55" s="29">
        <f>IF(K55="","",ROUND(K55*(1+$C$9),2))</f>
        <v/>
      </c>
      <c r="O55" s="29">
        <f>IF(L55="","",ROUND(L55*(1+$C$9),2))</f>
        <v/>
      </c>
      <c r="P55" s="30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  <c r="R55" s="31" t="n"/>
      <c r="S55" s="8" t="n"/>
      <c r="T55" s="29">
        <f>IF($R55="","",ROUND($R55*(1-N($S55)),2))</f>
        <v/>
      </c>
      <c r="U55" s="32">
        <f>IF(OR($T55="",$T55=0,$J55=""),"",($T55-$J55)/$T55)</f>
        <v/>
      </c>
      <c r="V55" s="32">
        <f>IF(OR($T55="",$T55=0,$K55=""),"",($T55-$K55)/$T55)</f>
        <v/>
      </c>
    </row>
    <row r="56">
      <c r="A56" s="20" t="inlineStr">
        <is>
          <t>AKRNP01-W</t>
        </is>
      </c>
      <c r="B56" s="21">
        <f>IFERROR(INDEX(Conversion!$C$2:$C$500,MATCH($A56,Conversion!$B$2:$B$500,0)),"NOT ASSIGNED")</f>
        <v/>
      </c>
      <c r="C56" s="22" t="inlineStr">
        <is>
          <t>St.st. water gun, with trigger protection, white</t>
        </is>
      </c>
      <c r="D56" s="23" t="inlineStr">
        <is>
          <t>Classic SS WD gun, w/ trigger guard, white, stainless steel 316</t>
        </is>
      </c>
      <c r="E56" s="24" t="n">
        <v>0.983</v>
      </c>
      <c r="F56" s="25" t="inlineStr">
        <is>
          <t>Cat p.15</t>
        </is>
      </c>
      <c r="G56" s="26" t="n">
        <v>82.562832</v>
      </c>
      <c r="H56" s="26" t="n">
        <v>73.39</v>
      </c>
      <c r="I56" s="27" t="n"/>
      <c r="J56" s="28">
        <f>IF(G56="","",G56/$C$5*(1+$C$8)+$E56*(1+$C$7)*$C$6)</f>
        <v/>
      </c>
      <c r="K56" s="28">
        <f>IF(H56="","",H56/$C$5*(1+$C$8)+$E56*(1+$C$7)*$C$6)</f>
        <v/>
      </c>
      <c r="L56" s="28">
        <f>IF(I56="","",I56/$C$5*(1+$C$8)+$E56*(1+$C$7)*$C$6)</f>
        <v/>
      </c>
      <c r="M56" s="29">
        <f>IF(J56="","",ROUND(J56*(1+$C$9),2))</f>
        <v/>
      </c>
      <c r="N56" s="29">
        <f>IF(K56="","",ROUND(K56*(1+$C$9),2))</f>
        <v/>
      </c>
      <c r="O56" s="29">
        <f>IF(L56="","",ROUND(L56*(1+$C$9),2))</f>
        <v/>
      </c>
      <c r="P56" s="30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  <c r="R56" s="31" t="n"/>
      <c r="S56" s="8" t="n"/>
      <c r="T56" s="29">
        <f>IF($R56="","",ROUND($R56*(1-N($S56)),2))</f>
        <v/>
      </c>
      <c r="U56" s="32">
        <f>IF(OR($T56="",$T56=0,$J56=""),"",($T56-$J56)/$T56)</f>
        <v/>
      </c>
      <c r="V56" s="32">
        <f>IF(OR($T56="",$T56=0,$K56=""),"",($T56-$K56)/$T56)</f>
        <v/>
      </c>
    </row>
    <row r="57"/>
    <row r="58">
      <c r="A58" s="20" t="inlineStr">
        <is>
          <t>AKRHP01-R</t>
        </is>
      </c>
      <c r="B58" s="21">
        <f>IFERROR(INDEX(Conversion!$C$2:$C$500,MATCH($A58,Conversion!$B$2:$B$500,0)),"NOT ASSIGNED")</f>
        <v/>
      </c>
      <c r="C58" s="22" t="inlineStr">
        <is>
          <t>St.st. water gun with trigger protection, Teflon/air handgrip insulation, red</t>
        </is>
      </c>
      <c r="D58" s="23" t="inlineStr">
        <is>
          <t>Classic Hot Wash WD gun, w/ trigger guard, Teflon/air insulated grip, red, stainless steel 316</t>
        </is>
      </c>
      <c r="E58" s="24" t="n">
        <v>0.98</v>
      </c>
      <c r="F58" s="25" t="inlineStr">
        <is>
          <t>Cat p.22</t>
        </is>
      </c>
      <c r="G58" s="26" t="n">
        <v>91.747854</v>
      </c>
      <c r="H58" s="26" t="n">
        <v>81.55</v>
      </c>
      <c r="I58" s="27" t="n"/>
      <c r="J58" s="28">
        <f>IF(G58="","",G58/$C$5*(1+$C$8)+$E58*(1+$C$7)*$C$6)</f>
        <v/>
      </c>
      <c r="K58" s="28">
        <f>IF(H58="","",H58/$C$5*(1+$C$8)+$E58*(1+$C$7)*$C$6)</f>
        <v/>
      </c>
      <c r="L58" s="28">
        <f>IF(I58="","",I58/$C$5*(1+$C$8)+$E58*(1+$C$7)*$C$6)</f>
        <v/>
      </c>
      <c r="M58" s="29">
        <f>IF(J58="","",ROUND(J58*(1+$C$9),2))</f>
        <v/>
      </c>
      <c r="N58" s="29">
        <f>IF(K58="","",ROUND(K58*(1+$C$9),2))</f>
        <v/>
      </c>
      <c r="O58" s="29">
        <f>IF(L58="","",ROUND(L58*(1+$C$9),2))</f>
        <v/>
      </c>
      <c r="P58" s="30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  <c r="R58" s="31" t="n"/>
      <c r="S58" s="8" t="n"/>
      <c r="T58" s="29">
        <f>IF($R58="","",ROUND($R58*(1-N($S58)),2))</f>
        <v/>
      </c>
      <c r="U58" s="32">
        <f>IF(OR($T58="",$T58=0,$J58=""),"",($T58-$J58)/$T58)</f>
        <v/>
      </c>
      <c r="V58" s="32">
        <f>IF(OR($T58="",$T58=0,$K58=""),"",($T58-$K58)/$T58)</f>
        <v/>
      </c>
    </row>
    <row r="59">
      <c r="A59" s="20" t="inlineStr">
        <is>
          <t>AKRHPB1-R</t>
        </is>
      </c>
      <c r="B59" s="21">
        <f>IFERROR(INDEX(Conversion!$C$2:$C$500,MATCH($A59,Conversion!$B$2:$B$500,0)),"NOT ASSIGNED")</f>
        <v/>
      </c>
      <c r="C59" s="22" t="inlineStr">
        <is>
          <t>St.st. water gun, big flow, with trigger protection, Teflon/air handgrip insulation, red</t>
        </is>
      </c>
      <c r="D59" s="23" t="inlineStr">
        <is>
          <t>Classic Hot Wash WD gun, w/ trigger guard, high flow, Teflon/air insulated grip, red, stainless steel 316</t>
        </is>
      </c>
      <c r="E59" s="24" t="n">
        <v>0.98</v>
      </c>
      <c r="F59" s="25" t="inlineStr">
        <is>
          <t>Cat p.22</t>
        </is>
      </c>
      <c r="G59" s="26" t="n">
        <v>91.747854</v>
      </c>
      <c r="H59" s="26" t="n">
        <v>81.55</v>
      </c>
      <c r="I59" s="27" t="n"/>
      <c r="J59" s="28">
        <f>IF(G59="","",G59/$C$5*(1+$C$8)+$E59*(1+$C$7)*$C$6)</f>
        <v/>
      </c>
      <c r="K59" s="28">
        <f>IF(H59="","",H59/$C$5*(1+$C$8)+$E59*(1+$C$7)*$C$6)</f>
        <v/>
      </c>
      <c r="L59" s="28">
        <f>IF(I59="","",I59/$C$5*(1+$C$8)+$E59*(1+$C$7)*$C$6)</f>
        <v/>
      </c>
      <c r="M59" s="29">
        <f>IF(J59="","",ROUND(J59*(1+$C$9),2))</f>
        <v/>
      </c>
      <c r="N59" s="29">
        <f>IF(K59="","",ROUND(K59*(1+$C$9),2))</f>
        <v/>
      </c>
      <c r="O59" s="29">
        <f>IF(L59="","",ROUND(L59*(1+$C$9),2))</f>
        <v/>
      </c>
      <c r="P59" s="30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  <c r="R59" s="31" t="n"/>
      <c r="S59" s="8" t="n"/>
      <c r="T59" s="29">
        <f>IF($R59="","",ROUND($R59*(1-N($S59)),2))</f>
        <v/>
      </c>
      <c r="U59" s="32">
        <f>IF(OR($T59="",$T59=0,$J59=""),"",($T59-$J59)/$T59)</f>
        <v/>
      </c>
      <c r="V59" s="32">
        <f>IF(OR($T59="",$T59=0,$K59=""),"",($T59-$K59)/$T59)</f>
        <v/>
      </c>
    </row>
    <row r="60">
      <c r="A60" s="20" t="inlineStr">
        <is>
          <t>AKRHP02-R-L40</t>
        </is>
      </c>
      <c r="B60" s="21">
        <f>IFERROR(INDEX(Conversion!$C$2:$C$500,MATCH($A60,Conversion!$B$2:$B$500,0)),"NOT ASSIGNED")</f>
        <v/>
      </c>
      <c r="C60" s="22" t="inlineStr">
        <is>
          <t>St.st. water gun with trigger protection, Teflon/air handgrip insulation, 40cm lance, red</t>
        </is>
      </c>
      <c r="D60" s="23" t="inlineStr">
        <is>
          <t>Classic Hot Wash WD gun, w/ trigger guard, 40 cm lance, Teflon/air insulated grip, red, stainless steel 316</t>
        </is>
      </c>
      <c r="E60" s="24" t="n">
        <v>1.9</v>
      </c>
      <c r="F60" s="25" t="inlineStr">
        <is>
          <t>Cat p.22</t>
        </is>
      </c>
      <c r="G60" s="26" t="n">
        <v>143.191422</v>
      </c>
      <c r="H60" s="26" t="n">
        <v>127.28</v>
      </c>
      <c r="I60" s="27" t="n"/>
      <c r="J60" s="28">
        <f>IF(G60="","",G60/$C$5*(1+$C$8)+$E60*(1+$C$7)*$C$6)</f>
        <v/>
      </c>
      <c r="K60" s="28">
        <f>IF(H60="","",H60/$C$5*(1+$C$8)+$E60*(1+$C$7)*$C$6)</f>
        <v/>
      </c>
      <c r="L60" s="28">
        <f>IF(I60="","",I60/$C$5*(1+$C$8)+$E60*(1+$C$7)*$C$6)</f>
        <v/>
      </c>
      <c r="M60" s="29">
        <f>IF(J60="","",ROUND(J60*(1+$C$9),2))</f>
        <v/>
      </c>
      <c r="N60" s="29">
        <f>IF(K60="","",ROUND(K60*(1+$C$9),2))</f>
        <v/>
      </c>
      <c r="O60" s="29">
        <f>IF(L60="","",ROUND(L60*(1+$C$9),2))</f>
        <v/>
      </c>
      <c r="P60" s="30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  <c r="R60" s="31" t="n"/>
      <c r="S60" s="8" t="n"/>
      <c r="T60" s="29">
        <f>IF($R60="","",ROUND($R60*(1-N($S60)),2))</f>
        <v/>
      </c>
      <c r="U60" s="32">
        <f>IF(OR($T60="",$T60=0,$J60=""),"",($T60-$J60)/$T60)</f>
        <v/>
      </c>
      <c r="V60" s="32">
        <f>IF(OR($T60="",$T60=0,$K60=""),"",($T60-$K60)/$T60)</f>
        <v/>
      </c>
    </row>
    <row r="61"/>
    <row r="62">
      <c r="A62" s="20" t="inlineStr">
        <is>
          <t>AKRNP01-BL-EX</t>
        </is>
      </c>
      <c r="B62" s="21">
        <f>IFERROR(INDEX(Conversion!$C$2:$C$500,MATCH($A62,Conversion!$B$2:$B$500,0)),"NOT ASSIGNED")</f>
        <v/>
      </c>
      <c r="C62" s="22" t="inlineStr">
        <is>
          <t>St.st. water gun, with trigger protection, EX-covers, black</t>
        </is>
      </c>
      <c r="D62" s="23" t="inlineStr">
        <is>
          <t>Classic ATEX WD gun, w/ trigger guard, Zone 1 &amp; 2, black, stainless steel 316</t>
        </is>
      </c>
      <c r="E62" s="24" t="n">
        <v>0.957</v>
      </c>
      <c r="F62" s="25" t="inlineStr">
        <is>
          <t>Cat p.23</t>
        </is>
      </c>
      <c r="G62" s="26" t="n">
        <v>103.147704</v>
      </c>
      <c r="H62" s="26" t="n">
        <v>91.69</v>
      </c>
      <c r="I62" s="27" t="n"/>
      <c r="J62" s="28">
        <f>IF(G62="","",G62/$C$5*(1+$C$8)+$E62*(1+$C$7)*$C$6)</f>
        <v/>
      </c>
      <c r="K62" s="28">
        <f>IF(H62="","",H62/$C$5*(1+$C$8)+$E62*(1+$C$7)*$C$6)</f>
        <v/>
      </c>
      <c r="L62" s="28">
        <f>IF(I62="","",I62/$C$5*(1+$C$8)+$E62*(1+$C$7)*$C$6)</f>
        <v/>
      </c>
      <c r="M62" s="29">
        <f>IF(J62="","",ROUND(J62*(1+$C$9),2))</f>
        <v/>
      </c>
      <c r="N62" s="29">
        <f>IF(K62="","",ROUND(K62*(1+$C$9),2))</f>
        <v/>
      </c>
      <c r="O62" s="29">
        <f>IF(L62="","",ROUND(L62*(1+$C$9),2))</f>
        <v/>
      </c>
      <c r="P62" s="30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  <c r="R62" s="31" t="n"/>
      <c r="S62" s="8" t="n"/>
      <c r="T62" s="29">
        <f>IF($R62="","",ROUND($R62*(1-N($S62)),2))</f>
        <v/>
      </c>
      <c r="U62" s="32">
        <f>IF(OR($T62="",$T62=0,$J62=""),"",($T62-$J62)/$T62)</f>
        <v/>
      </c>
      <c r="V62" s="32">
        <f>IF(OR($T62="",$T62=0,$K62=""),"",($T62-$K62)/$T62)</f>
        <v/>
      </c>
    </row>
    <row r="63">
      <c r="A63" s="20" t="inlineStr">
        <is>
          <t>AKRN002-LB-LAT</t>
        </is>
      </c>
      <c r="B63" s="21">
        <f>IFERROR(INDEX(Conversion!$C$2:$C$500,MATCH($A63,Conversion!$B$2:$B$500,0)),"NOT ASSIGNED")</f>
        <v/>
      </c>
      <c r="C63" s="22" t="inlineStr">
        <is>
          <t>St.st. water gun with latex cover, light blue</t>
        </is>
      </c>
      <c r="D63" s="23" t="inlineStr">
        <is>
          <t>Classic SS Sterilisable WD gun, latex jacket, light blue, stainless steel 316</t>
        </is>
      </c>
      <c r="E63" s="24" t="n">
        <v>0.87</v>
      </c>
      <c r="F63" s="25" t="inlineStr">
        <is>
          <t>Cat p.24</t>
        </is>
      </c>
      <c r="G63" s="26" t="n">
        <v>114.55686</v>
      </c>
      <c r="H63" s="26" t="n">
        <v>101.83</v>
      </c>
      <c r="I63" s="27" t="n"/>
      <c r="J63" s="28">
        <f>IF(G63="","",G63/$C$5*(1+$C$8)+$E63*(1+$C$7)*$C$6)</f>
        <v/>
      </c>
      <c r="K63" s="28">
        <f>IF(H63="","",H63/$C$5*(1+$C$8)+$E63*(1+$C$7)*$C$6)</f>
        <v/>
      </c>
      <c r="L63" s="28">
        <f>IF(I63="","",I63/$C$5*(1+$C$8)+$E63*(1+$C$7)*$C$6)</f>
        <v/>
      </c>
      <c r="M63" s="29">
        <f>IF(J63="","",ROUND(J63*(1+$C$9),2))</f>
        <v/>
      </c>
      <c r="N63" s="29">
        <f>IF(K63="","",ROUND(K63*(1+$C$9),2))</f>
        <v/>
      </c>
      <c r="O63" s="29">
        <f>IF(L63="","",ROUND(L63*(1+$C$9),2))</f>
        <v/>
      </c>
      <c r="P63" s="30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  <c r="R63" s="31" t="n"/>
      <c r="S63" s="8" t="n"/>
      <c r="T63" s="29">
        <f>IF($R63="","",ROUND($R63*(1-N($S63)),2))</f>
        <v/>
      </c>
      <c r="U63" s="32">
        <f>IF(OR($T63="",$T63=0,$J63=""),"",($T63-$J63)/$T63)</f>
        <v/>
      </c>
      <c r="V63" s="32">
        <f>IF(OR($T63="",$T63=0,$K63=""),"",($T63-$K63)/$T63)</f>
        <v/>
      </c>
    </row>
    <row r="64"/>
    <row r="65">
      <c r="A65" s="20" t="inlineStr">
        <is>
          <t>AKRSV01-B</t>
        </is>
      </c>
      <c r="B65" s="21">
        <f>IFERROR(INDEX(Conversion!$C$2:$C$500,MATCH($A65,Conversion!$B$2:$B$500,0)),"NOT ASSIGNED")</f>
        <v/>
      </c>
      <c r="C65" s="22" t="inlineStr">
        <is>
          <t>Versatile stainless steel squeeze valve "Squeezer", blue</t>
        </is>
      </c>
      <c r="D65" s="23" t="inlineStr">
        <is>
          <t>The Squeezer valve, self-closing, 1/2" F x 1/2" F, blue, stainless steel 304</t>
        </is>
      </c>
      <c r="E65" s="24" t="n">
        <v>0.635</v>
      </c>
      <c r="F65" s="25" t="inlineStr">
        <is>
          <t>Cat p.A</t>
        </is>
      </c>
      <c r="G65" s="26" t="n">
        <v>63.12</v>
      </c>
      <c r="H65" s="26" t="n">
        <v>59.41</v>
      </c>
      <c r="I65" s="26" t="n">
        <v>51.98</v>
      </c>
      <c r="J65" s="28">
        <f>IF(G65="","",G65/$C$5*(1+$C$8)+$E65*(1+$C$7)*$C$6)</f>
        <v/>
      </c>
      <c r="K65" s="28">
        <f>IF(H65="","",H65/$C$5*(1+$C$8)+$E65*(1+$C$7)*$C$6)</f>
        <v/>
      </c>
      <c r="L65" s="28">
        <f>IF(I65="","",I65/$C$5*(1+$C$8)+$E65*(1+$C$7)*$C$6)</f>
        <v/>
      </c>
      <c r="M65" s="29">
        <f>IF(J65="","",ROUND(J65*(1+$C$9),2))</f>
        <v/>
      </c>
      <c r="N65" s="29">
        <f>IF(K65="","",ROUND(K65*(1+$C$9),2))</f>
        <v/>
      </c>
      <c r="O65" s="29">
        <f>IF(L65="","",ROUND(L65*(1+$C$9),2))</f>
        <v/>
      </c>
      <c r="P65" s="30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  <c r="R65" s="31" t="n"/>
      <c r="S65" s="8" t="n"/>
      <c r="T65" s="29">
        <f>IF($R65="","",ROUND($R65*(1-N($S65)),2))</f>
        <v/>
      </c>
      <c r="U65" s="32">
        <f>IF(OR($T65="",$T65=0,$J65=""),"",($T65-$J65)/$T65)</f>
        <v/>
      </c>
      <c r="V65" s="32">
        <f>IF(OR($T65="",$T65=0,$K65=""),"",($T65-$K65)/$T65)</f>
        <v/>
      </c>
    </row>
    <row r="66">
      <c r="A66" s="20" t="inlineStr">
        <is>
          <t>AKR001-B</t>
        </is>
      </c>
      <c r="B66" s="21">
        <f>IFERROR(INDEX(Conversion!$C$2:$C$500,MATCH($A66,Conversion!$B$2:$B$500,0)),"NOT ASSIGNED")</f>
        <v/>
      </c>
      <c r="C66" s="22" t="inlineStr">
        <is>
          <t>St, st. shower head, blue</t>
        </is>
      </c>
      <c r="D66" s="23" t="inlineStr">
        <is>
          <t>The Squeezer shower head, 1/2" M, blue, stainless steel 304 / PA66</t>
        </is>
      </c>
      <c r="E66" s="24" t="n">
        <v>0.125</v>
      </c>
      <c r="F66" s="25" t="inlineStr">
        <is>
          <t>Cat p.B (catalogue code AKRS001-B)</t>
        </is>
      </c>
      <c r="G66" s="26" t="n">
        <v>18.28</v>
      </c>
      <c r="H66" s="26" t="n">
        <v>17.2</v>
      </c>
      <c r="I66" s="26" t="n">
        <v>15.05</v>
      </c>
      <c r="J66" s="28">
        <f>IF(G66="","",G66/$C$5*(1+$C$8)+$E66*(1+$C$7)*$C$6)</f>
        <v/>
      </c>
      <c r="K66" s="28">
        <f>IF(H66="","",H66/$C$5*(1+$C$8)+$E66*(1+$C$7)*$C$6)</f>
        <v/>
      </c>
      <c r="L66" s="28">
        <f>IF(I66="","",I66/$C$5*(1+$C$8)+$E66*(1+$C$7)*$C$6)</f>
        <v/>
      </c>
      <c r="M66" s="29">
        <f>IF(J66="","",ROUND(J66*(1+$C$9),2))</f>
        <v/>
      </c>
      <c r="N66" s="29">
        <f>IF(K66="","",ROUND(K66*(1+$C$9),2))</f>
        <v/>
      </c>
      <c r="O66" s="29">
        <f>IF(L66="","",ROUND(L66*(1+$C$9),2))</f>
        <v/>
      </c>
      <c r="P66" s="30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  <c r="R66" s="31" t="n"/>
      <c r="S66" s="8" t="n"/>
      <c r="T66" s="29">
        <f>IF($R66="","",ROUND($R66*(1-N($S66)),2))</f>
        <v/>
      </c>
      <c r="U66" s="32">
        <f>IF(OR($T66="",$T66=0,$J66=""),"",($T66-$J66)/$T66)</f>
        <v/>
      </c>
      <c r="V66" s="32">
        <f>IF(OR($T66="",$T66=0,$K66=""),"",($T66-$K66)/$T66)</f>
        <v/>
      </c>
    </row>
    <row r="67"/>
    <row r="68">
      <c r="A68" s="14" t="inlineStr">
        <is>
          <t>Classic series - WD guns for lance mounting (1/2" male outlet)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R68" s="15" t="n"/>
      <c r="S68" s="15" t="n"/>
      <c r="T68" s="15" t="n"/>
      <c r="U68" s="15" t="n"/>
      <c r="V68" s="15" t="n"/>
    </row>
    <row r="69"/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inlineStr">
        <is>
          <t>≥ 50 pcs</t>
        </is>
      </c>
      <c r="J70" s="18" t="inlineStr">
        <is>
          <t>&lt; 20 pcs</t>
        </is>
      </c>
      <c r="K70" s="18" t="inlineStr">
        <is>
          <t>≥ 20 pcs</t>
        </is>
      </c>
      <c r="L70" s="18" t="inlineStr">
        <is>
          <t>≥ 50 pcs</t>
        </is>
      </c>
      <c r="M70" s="18" t="inlineStr">
        <is>
          <t>&lt; 20 pcs</t>
        </is>
      </c>
      <c r="N70" s="18" t="inlineStr">
        <is>
          <t>≥ 20 pcs</t>
        </is>
      </c>
      <c r="O70" s="18" t="inlineStr">
        <is>
          <t>≥ 50 pcs</t>
        </is>
      </c>
      <c r="P70" s="17" t="n"/>
      <c r="R70" s="17" t="n"/>
      <c r="S70" s="17" t="n"/>
      <c r="T70" s="17" t="n"/>
      <c r="U70" s="19" t="inlineStr">
        <is>
          <t>&lt; 20 pcs</t>
        </is>
      </c>
      <c r="V70" s="19" t="inlineStr">
        <is>
          <t>≥ 20 pcs</t>
        </is>
      </c>
    </row>
    <row r="71">
      <c r="A71" s="20" t="inlineStr">
        <is>
          <t>KLML002-B</t>
        </is>
      </c>
      <c r="B71" s="21">
        <f>IFERROR(INDEX(Conversion!$C$2:$C$500,MATCH($A71,Conversion!$B$2:$B$500,0)),"NOT ASSIGNED")</f>
        <v/>
      </c>
      <c r="C71" s="22" t="inlineStr">
        <is>
          <t>Brass water gun, without trigger insulation and 1/2"outlet for lance mounting, blue</t>
        </is>
      </c>
      <c r="D71" s="23" t="inlineStr">
        <is>
          <t>Classic WD gun, w/o trigger insulation, 1/2" M outlet for lance, blue, brass</t>
        </is>
      </c>
      <c r="E71" s="33" t="n">
        <v>0.84</v>
      </c>
      <c r="F71" s="25" t="inlineStr">
        <is>
          <t>ESTIMATE - not in catalogue; taken as KLMN001 (p.9)</t>
        </is>
      </c>
      <c r="G71" s="26" t="n">
        <v>27.64</v>
      </c>
      <c r="H71" s="27" t="n"/>
      <c r="I71" s="27" t="n"/>
      <c r="J71" s="28">
        <f>IF(G71="","",G71/$C$5*(1+$C$8)+$E71*(1+$C$7)*$C$6)</f>
        <v/>
      </c>
      <c r="K71" s="28">
        <f>IF(H71="","",H71/$C$5*(1+$C$8)+$E71*(1+$C$7)*$C$6)</f>
        <v/>
      </c>
      <c r="L71" s="28">
        <f>IF(I71="","",I71/$C$5*(1+$C$8)+$E71*(1+$C$7)*$C$6)</f>
        <v/>
      </c>
      <c r="M71" s="29">
        <f>IF(J71="","",ROUND(J71*(1+$C$9),2))</f>
        <v/>
      </c>
      <c r="N71" s="29">
        <f>IF(K71="","",ROUND(K71*(1+$C$9),2))</f>
        <v/>
      </c>
      <c r="O71" s="29">
        <f>IF(L71="","",ROUND(L71*(1+$C$9),2))</f>
        <v/>
      </c>
      <c r="P71" s="30">
        <f>TRIM(IF($B71="NOT ASSIGNED","No NW part no. ","")&amp;IFERROR(IF(INDEX(Conversion!$J$2:$J$500,MATCH($A71,Conversion!$B$2:$B$500,0))="Needs review","Conversion table: needs review. ",""),"")&amp;IF(LEFT($F71,8)="ESTIMATE","Weight estimated. ","")&amp;"Added per Andrew 07-Oct-2026 - quoted separately by AKBO, single price only.")</f>
        <v/>
      </c>
      <c r="R71" s="31" t="n"/>
      <c r="S71" s="8" t="n"/>
      <c r="T71" s="29">
        <f>IF($R71="","",ROUND($R71*(1-N($S71)),2))</f>
        <v/>
      </c>
      <c r="U71" s="32">
        <f>IF(OR($T71="",$T71=0,$J71=""),"",($T71-$J71)/$T71)</f>
        <v/>
      </c>
      <c r="V71" s="32">
        <f>IF(OR($T71="",$T71=0,$K71=""),"",($T71-$K71)/$T71)</f>
        <v/>
      </c>
    </row>
    <row r="72">
      <c r="A72" s="20" t="inlineStr">
        <is>
          <t>AKCL002-B</t>
        </is>
      </c>
      <c r="B72" s="21">
        <f>IFERROR(INDEX(Conversion!$C$2:$C$500,MATCH($A72,Conversion!$B$2:$B$500,0)),"NOT ASSIGNED")</f>
        <v/>
      </c>
      <c r="C72" s="22" t="inlineStr">
        <is>
          <t>Chrome plated brass water gun, with 1/2" male outlet, blue</t>
        </is>
      </c>
      <c r="D72" s="23" t="inlineStr">
        <is>
          <t>Classic Protection Plus WD gun, 1/2" M outlet for lance, blue, chrome-plated brass</t>
        </is>
      </c>
      <c r="E72" s="33" t="n">
        <v>0.867</v>
      </c>
      <c r="F72" s="25" t="inlineStr">
        <is>
          <t>ESTIMATE - not in catalogue; taken as AKCN001-B (p.13)</t>
        </is>
      </c>
      <c r="G72" s="26" t="n">
        <v>44.49</v>
      </c>
      <c r="H72" s="27" t="n"/>
      <c r="I72" s="27" t="n"/>
      <c r="J72" s="28">
        <f>IF(G72="","",G72/$C$5*(1+$C$8)+$E72*(1+$C$7)*$C$6)</f>
        <v/>
      </c>
      <c r="K72" s="28">
        <f>IF(H72="","",H72/$C$5*(1+$C$8)+$E72*(1+$C$7)*$C$6)</f>
        <v/>
      </c>
      <c r="L72" s="28">
        <f>IF(I72="","",I72/$C$5*(1+$C$8)+$E72*(1+$C$7)*$C$6)</f>
        <v/>
      </c>
      <c r="M72" s="29">
        <f>IF(J72="","",ROUND(J72*(1+$C$9),2))</f>
        <v/>
      </c>
      <c r="N72" s="29">
        <f>IF(K72="","",ROUND(K72*(1+$C$9),2))</f>
        <v/>
      </c>
      <c r="O72" s="29">
        <f>IF(L72="","",ROUND(L72*(1+$C$9),2))</f>
        <v/>
      </c>
      <c r="P72" s="30">
        <f>TRIM(IF($B72="NOT ASSIGNED","No NW part no. ","")&amp;IFERROR(IF(INDEX(Conversion!$J$2:$J$500,MATCH($A72,Conversion!$B$2:$B$500,0))="Needs review","Conversion table: needs review. ",""),"")&amp;IF(LEFT($F72,8)="ESTIMATE","Weight estimated. ","")&amp;"Added per Andrew 07-Oct-2026 - quoted separately by AKBO, single price only.")</f>
        <v/>
      </c>
      <c r="R72" s="31" t="n"/>
      <c r="S72" s="8" t="n"/>
      <c r="T72" s="29">
        <f>IF($R72="","",ROUND($R72*(1-N($S72)),2))</f>
        <v/>
      </c>
      <c r="U72" s="32">
        <f>IF(OR($T72="",$T72=0,$J72=""),"",($T72-$J72)/$T72)</f>
        <v/>
      </c>
      <c r="V72" s="32">
        <f>IF(OR($T72="",$T72=0,$K72=""),"",($T72-$K72)/$T72)</f>
        <v/>
      </c>
    </row>
    <row r="73">
      <c r="A73" s="20" t="inlineStr">
        <is>
          <t>AKRL002-B</t>
        </is>
      </c>
      <c r="B73" s="21">
        <f>IFERROR(INDEX(Conversion!$C$2:$C$500,MATCH($A73,Conversion!$B$2:$B$500,0)),"NOT ASSIGNED")</f>
        <v/>
      </c>
      <c r="C73" s="22" t="inlineStr">
        <is>
          <t>St.st. (AISI 316) water gun, with 1/2" male outlet, blue</t>
        </is>
      </c>
      <c r="D73" s="23" t="inlineStr">
        <is>
          <t>Classic SS WD gun, 1/2" M outlet for lance, blue, stainless steel 316</t>
        </is>
      </c>
      <c r="E73" s="33" t="n">
        <v>0.8129999999999999</v>
      </c>
      <c r="F73" s="25" t="inlineStr">
        <is>
          <t>ESTIMATE - not in catalogue; taken as AKRN001 (p.15)</t>
        </is>
      </c>
      <c r="G73" s="26" t="n">
        <v>95.44</v>
      </c>
      <c r="H73" s="27" t="n"/>
      <c r="I73" s="27" t="n"/>
      <c r="J73" s="28">
        <f>IF(G73="","",G73/$C$5*(1+$C$8)+$E73*(1+$C$7)*$C$6)</f>
        <v/>
      </c>
      <c r="K73" s="28">
        <f>IF(H73="","",H73/$C$5*(1+$C$8)+$E73*(1+$C$7)*$C$6)</f>
        <v/>
      </c>
      <c r="L73" s="28">
        <f>IF(I73="","",I73/$C$5*(1+$C$8)+$E73*(1+$C$7)*$C$6)</f>
        <v/>
      </c>
      <c r="M73" s="29">
        <f>IF(J73="","",ROUND(J73*(1+$C$9),2))</f>
        <v/>
      </c>
      <c r="N73" s="29">
        <f>IF(K73="","",ROUND(K73*(1+$C$9),2))</f>
        <v/>
      </c>
      <c r="O73" s="29">
        <f>IF(L73="","",ROUND(L73*(1+$C$9),2))</f>
        <v/>
      </c>
      <c r="P73" s="30">
        <f>TRIM(IF($B73="NOT ASSIGNED","No NW part no. ","")&amp;IFERROR(IF(INDEX(Conversion!$J$2:$J$500,MATCH($A73,Conversion!$B$2:$B$500,0))="Needs review","Conversion table: needs review. ",""),"")&amp;IF(LEFT($F73,8)="ESTIMATE","Weight estimated. ","")&amp;"Added per Andrew 07-Oct-2026 - quoted separately by AKBO, single price only.")</f>
        <v/>
      </c>
      <c r="R73" s="31" t="n"/>
      <c r="S73" s="8" t="n"/>
      <c r="T73" s="29">
        <f>IF($R73="","",ROUND($R73*(1-N($S73)),2))</f>
        <v/>
      </c>
      <c r="U73" s="32">
        <f>IF(OR($T73="",$T73=0,$J73=""),"",($T73-$J73)/$T73)</f>
        <v/>
      </c>
      <c r="V73" s="32">
        <f>IF(OR($T73="",$T73=0,$K73=""),"",($T73-$K73)/$T73)</f>
        <v/>
      </c>
    </row>
    <row r="74">
      <c r="A74" s="20" t="inlineStr">
        <is>
          <t>AKNL002-B</t>
        </is>
      </c>
      <c r="B74" s="21">
        <f>IFERROR(INDEX(Conversion!$C$2:$C$500,MATCH($A74,Conversion!$B$2:$B$500,0)),"NOT ASSIGNED")</f>
        <v/>
      </c>
      <c r="C74" s="22" t="inlineStr">
        <is>
          <t>Glass reinforced PA66 water gun, with 1/2" male outlet, blue</t>
        </is>
      </c>
      <c r="D74" s="23" t="inlineStr">
        <is>
          <t>Classic Lite WD gun, 1/2" M outlet for lance, blue, PA66 plastic</t>
        </is>
      </c>
      <c r="E74" s="33" t="n">
        <v>0.48</v>
      </c>
      <c r="F74" s="25" t="inlineStr">
        <is>
          <t>ESTIMATE - not in catalogue; taken as AKNN001-B (p.17)</t>
        </is>
      </c>
      <c r="G74" s="26" t="n">
        <v>30.38</v>
      </c>
      <c r="H74" s="27" t="n"/>
      <c r="I74" s="27" t="n"/>
      <c r="J74" s="28">
        <f>IF(G74="","",G74/$C$5*(1+$C$8)+$E74*(1+$C$7)*$C$6)</f>
        <v/>
      </c>
      <c r="K74" s="28">
        <f>IF(H74="","",H74/$C$5*(1+$C$8)+$E74*(1+$C$7)*$C$6)</f>
        <v/>
      </c>
      <c r="L74" s="28">
        <f>IF(I74="","",I74/$C$5*(1+$C$8)+$E74*(1+$C$7)*$C$6)</f>
        <v/>
      </c>
      <c r="M74" s="29">
        <f>IF(J74="","",ROUND(J74*(1+$C$9),2))</f>
        <v/>
      </c>
      <c r="N74" s="29">
        <f>IF(K74="","",ROUND(K74*(1+$C$9),2))</f>
        <v/>
      </c>
      <c r="O74" s="29">
        <f>IF(L74="","",ROUND(L74*(1+$C$9),2))</f>
        <v/>
      </c>
      <c r="P74" s="30">
        <f>TRIM(IF($B74="NOT ASSIGNED","No NW part no. ","")&amp;IFERROR(IF(INDEX(Conversion!$J$2:$J$500,MATCH($A74,Conversion!$B$2:$B$500,0))="Needs review","Conversion table: needs review. ",""),"")&amp;IF(LEFT($F74,8)="ESTIMATE","Weight estimated. ","")&amp;"Added per Andrew 07-Oct-2026 - quoted separately by AKBO, single price only.")</f>
        <v/>
      </c>
      <c r="R74" s="31" t="n"/>
      <c r="S74" s="8" t="n"/>
      <c r="T74" s="29">
        <f>IF($R74="","",ROUND($R74*(1-N($S74)),2))</f>
        <v/>
      </c>
      <c r="U74" s="32">
        <f>IF(OR($T74="",$T74=0,$J74=""),"",($T74-$J74)/$T74)</f>
        <v/>
      </c>
      <c r="V74" s="32">
        <f>IF(OR($T74="",$T74=0,$K74=""),"",($T74-$K74)/$T74)</f>
        <v/>
      </c>
    </row>
    <row r="75"/>
    <row r="76">
      <c r="A76" s="14" t="inlineStr">
        <is>
          <t>Baby water guns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R76" s="15" t="n"/>
      <c r="S76" s="15" t="n"/>
      <c r="T76" s="15" t="n"/>
      <c r="U76" s="15" t="n"/>
      <c r="V76" s="15" t="n"/>
    </row>
    <row r="77"/>
    <row r="78">
      <c r="A78" s="16" t="inlineStr">
        <is>
          <t>Qty break</t>
        </is>
      </c>
      <c r="B78" s="17" t="n"/>
      <c r="C78" s="17" t="n"/>
      <c r="D78" s="17" t="n"/>
      <c r="E78" s="17" t="n"/>
      <c r="F78" s="17" t="n"/>
      <c r="G78" s="18" t="inlineStr">
        <is>
          <t>&lt; 20 pcs</t>
        </is>
      </c>
      <c r="H78" s="18" t="inlineStr">
        <is>
          <t>≥ 20 pcs</t>
        </is>
      </c>
      <c r="I78" s="18" t="n"/>
      <c r="J78" s="18" t="inlineStr">
        <is>
          <t>&lt; 20 pcs</t>
        </is>
      </c>
      <c r="K78" s="18" t="inlineStr">
        <is>
          <t>≥ 20 pcs</t>
        </is>
      </c>
      <c r="L78" s="18" t="n"/>
      <c r="M78" s="18" t="inlineStr">
        <is>
          <t>&lt; 20 pcs</t>
        </is>
      </c>
      <c r="N78" s="18" t="inlineStr">
        <is>
          <t>≥ 20 pcs</t>
        </is>
      </c>
      <c r="O78" s="18" t="n"/>
      <c r="P78" s="17" t="n"/>
      <c r="R78" s="17" t="n"/>
      <c r="S78" s="17" t="n"/>
      <c r="T78" s="17" t="n"/>
      <c r="U78" s="19" t="inlineStr">
        <is>
          <t>&lt; 20 pcs</t>
        </is>
      </c>
      <c r="V78" s="19" t="inlineStr">
        <is>
          <t>≥ 20 pcs</t>
        </is>
      </c>
    </row>
    <row r="79">
      <c r="A79" s="34" t="inlineStr">
        <is>
          <t>Baby water guns "aluminium"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R79" s="35" t="n"/>
      <c r="S79" s="35" t="n"/>
      <c r="T79" s="35" t="n"/>
      <c r="U79" s="35" t="n"/>
      <c r="V79" s="35" t="n"/>
    </row>
    <row r="80"/>
    <row r="81">
      <c r="A81" s="20" t="inlineStr">
        <is>
          <t>BABTN01-B</t>
        </is>
      </c>
      <c r="B81" s="21">
        <f>IFERROR(INDEX(Conversion!$C$2:$C$500,MATCH($A81,Conversion!$B$2:$B$500,0)),"NOT ASSIGNED")</f>
        <v/>
      </c>
      <c r="C81" s="22" t="inlineStr">
        <is>
          <t>Aluminium "baby" water gun, back trigger, blue</t>
        </is>
      </c>
      <c r="D81" s="23" t="inlineStr">
        <is>
          <t>Baby WD gun, rear trigger, blue, aluminium</t>
        </is>
      </c>
      <c r="E81" s="24" t="n">
        <v>0.36</v>
      </c>
      <c r="F81" s="25" t="inlineStr">
        <is>
          <t>Cat p.18</t>
        </is>
      </c>
      <c r="G81" s="26" t="n">
        <v>19.458846</v>
      </c>
      <c r="H81" s="26" t="n">
        <v>17.296752</v>
      </c>
      <c r="I81" s="27" t="n"/>
      <c r="J81" s="28">
        <f>IF(G81="","",G81/$C$5*(1+$C$8)+$E81*(1+$C$7)*$C$6)</f>
        <v/>
      </c>
      <c r="K81" s="28">
        <f>IF(H81="","",H81/$C$5*(1+$C$8)+$E81*(1+$C$7)*$C$6)</f>
        <v/>
      </c>
      <c r="L81" s="28">
        <f>IF(I81="","",I81/$C$5*(1+$C$8)+$E81*(1+$C$7)*$C$6)</f>
        <v/>
      </c>
      <c r="M81" s="29">
        <f>IF(J81="","",ROUND(J81*(1+$C$9),2))</f>
        <v/>
      </c>
      <c r="N81" s="29">
        <f>IF(K81="","",ROUND(K81*(1+$C$9),2))</f>
        <v/>
      </c>
      <c r="O81" s="29">
        <f>IF(L81="","",ROUND(L81*(1+$C$9),2))</f>
        <v/>
      </c>
      <c r="P81" s="30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  <c r="R81" s="31" t="n"/>
      <c r="S81" s="8" t="n"/>
      <c r="T81" s="29">
        <f>IF($R81="","",ROUND($R81*(1-N($S81)),2))</f>
        <v/>
      </c>
      <c r="U81" s="32">
        <f>IF(OR($T81="",$T81=0,$J81=""),"",($T81-$J81)/$T81)</f>
        <v/>
      </c>
      <c r="V81" s="32">
        <f>IF(OR($T81="",$T81=0,$K81=""),"",($T81-$K81)/$T81)</f>
        <v/>
      </c>
    </row>
    <row r="82">
      <c r="A82" s="20" t="inlineStr">
        <is>
          <t>BABTLF1-BL</t>
        </is>
      </c>
      <c r="B82" s="21">
        <f>IFERROR(INDEX(Conversion!$C$2:$C$500,MATCH($A82,Conversion!$B$2:$B$500,0)),"NOT ASSIGNED")</f>
        <v/>
      </c>
      <c r="C82" s="22" t="inlineStr">
        <is>
          <t>Aluminium "baby" water gun, back trigger, 1/2" female outlet, black</t>
        </is>
      </c>
      <c r="D82" s="23" t="inlineStr">
        <is>
          <t>Baby WD gun, rear trigger, 1/2" F outlet, black, aluminium</t>
        </is>
      </c>
      <c r="E82" s="24" t="n">
        <v>0.365</v>
      </c>
      <c r="F82" s="25" t="inlineStr">
        <is>
          <t>Cat p.37</t>
        </is>
      </c>
      <c r="G82" s="26" t="n">
        <v>20.56626</v>
      </c>
      <c r="H82" s="26" t="n">
        <v>18.28112</v>
      </c>
      <c r="I82" s="27" t="n"/>
      <c r="J82" s="28">
        <f>IF(G82="","",G82/$C$5*(1+$C$8)+$E82*(1+$C$7)*$C$6)</f>
        <v/>
      </c>
      <c r="K82" s="28">
        <f>IF(H82="","",H82/$C$5*(1+$C$8)+$E82*(1+$C$7)*$C$6)</f>
        <v/>
      </c>
      <c r="L82" s="28">
        <f>IF(I82="","",I82/$C$5*(1+$C$8)+$E82*(1+$C$7)*$C$6)</f>
        <v/>
      </c>
      <c r="M82" s="29">
        <f>IF(J82="","",ROUND(J82*(1+$C$9),2))</f>
        <v/>
      </c>
      <c r="N82" s="29">
        <f>IF(K82="","",ROUND(K82*(1+$C$9),2))</f>
        <v/>
      </c>
      <c r="O82" s="29">
        <f>IF(L82="","",ROUND(L82*(1+$C$9),2))</f>
        <v/>
      </c>
      <c r="P82" s="30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  <c r="R82" s="31" t="n"/>
      <c r="S82" s="8" t="n"/>
      <c r="T82" s="29">
        <f>IF($R82="","",ROUND($R82*(1-N($S82)),2))</f>
        <v/>
      </c>
      <c r="U82" s="32">
        <f>IF(OR($T82="",$T82=0,$J82=""),"",($T82-$J82)/$T82)</f>
        <v/>
      </c>
      <c r="V82" s="32">
        <f>IF(OR($T82="",$T82=0,$K82=""),"",($T82-$K82)/$T82)</f>
        <v/>
      </c>
    </row>
    <row r="83">
      <c r="A83" s="20" t="inlineStr">
        <is>
          <t>BABTA01-B</t>
        </is>
      </c>
      <c r="B83" s="21">
        <f>IFERROR(INDEX(Conversion!$C$2:$C$500,MATCH($A83,Conversion!$B$2:$B$500,0)),"NOT ASSIGNED")</f>
        <v/>
      </c>
      <c r="C83" s="22" t="inlineStr">
        <is>
          <t>Aluminium "baby" water gun, back trigger, adapter outlet, blue</t>
        </is>
      </c>
      <c r="D83" s="23" t="inlineStr">
        <is>
          <t>Baby WD gun, rear trigger, adapter outlet, blue, aluminium</t>
        </is>
      </c>
      <c r="E83" s="33" t="n">
        <v>0.365</v>
      </c>
      <c r="F83" s="25" t="inlineStr">
        <is>
          <t>ESTIMATE - not in catalogue; taken as BABTLF1-BL</t>
        </is>
      </c>
      <c r="G83" s="26" t="n">
        <v>20.56626</v>
      </c>
      <c r="H83" s="26" t="n">
        <v>18.28112</v>
      </c>
      <c r="I83" s="27" t="n"/>
      <c r="J83" s="28">
        <f>IF(G83="","",G83/$C$5*(1+$C$8)+$E83*(1+$C$7)*$C$6)</f>
        <v/>
      </c>
      <c r="K83" s="28">
        <f>IF(H83="","",H83/$C$5*(1+$C$8)+$E83*(1+$C$7)*$C$6)</f>
        <v/>
      </c>
      <c r="L83" s="28">
        <f>IF(I83="","",I83/$C$5*(1+$C$8)+$E83*(1+$C$7)*$C$6)</f>
        <v/>
      </c>
      <c r="M83" s="29">
        <f>IF(J83="","",ROUND(J83*(1+$C$9),2))</f>
        <v/>
      </c>
      <c r="N83" s="29">
        <f>IF(K83="","",ROUND(K83*(1+$C$9),2))</f>
        <v/>
      </c>
      <c r="O83" s="29">
        <f>IF(L83="","",ROUND(L83*(1+$C$9),2))</f>
        <v/>
      </c>
      <c r="P83" s="30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  <c r="R83" s="31" t="n"/>
      <c r="S83" s="8" t="n"/>
      <c r="T83" s="29">
        <f>IF($R83="","",ROUND($R83*(1-N($S83)),2))</f>
        <v/>
      </c>
      <c r="U83" s="32">
        <f>IF(OR($T83="",$T83=0,$J83=""),"",($T83-$J83)/$T83)</f>
        <v/>
      </c>
      <c r="V83" s="32">
        <f>IF(OR($T83="",$T83=0,$K83=""),"",($T83-$K83)/$T83)</f>
        <v/>
      </c>
    </row>
    <row r="84">
      <c r="A84" s="20" t="inlineStr">
        <is>
          <t>BABTNAA-B</t>
        </is>
      </c>
      <c r="B84" s="21">
        <f>IFERROR(INDEX(Conversion!$C$2:$C$500,MATCH($A84,Conversion!$B$2:$B$500,0)),"NOT ASSIGNED")</f>
        <v/>
      </c>
      <c r="C84" s="22" t="inlineStr">
        <is>
          <t>Aluminium "baby" water gun, back trigger, adapter in/output, blue</t>
        </is>
      </c>
      <c r="D84" s="23" t="inlineStr">
        <is>
          <t>Baby WD gun, rear trigger, adapter inlet &amp; outlet, blue, aluminium</t>
        </is>
      </c>
      <c r="E84" s="33" t="n">
        <v>0.37</v>
      </c>
      <c r="F84" s="25" t="inlineStr">
        <is>
          <t>ESTIMATE - not in catalogue; BABTN01-B + adapters</t>
        </is>
      </c>
      <c r="G84" s="26" t="n">
        <v>22.7997</v>
      </c>
      <c r="H84" s="26" t="n">
        <v>20.2664</v>
      </c>
      <c r="I84" s="27" t="n"/>
      <c r="J84" s="28">
        <f>IF(G84="","",G84/$C$5*(1+$C$8)+$E84*(1+$C$7)*$C$6)</f>
        <v/>
      </c>
      <c r="K84" s="28">
        <f>IF(H84="","",H84/$C$5*(1+$C$8)+$E84*(1+$C$7)*$C$6)</f>
        <v/>
      </c>
      <c r="L84" s="28">
        <f>IF(I84="","",I84/$C$5*(1+$C$8)+$E84*(1+$C$7)*$C$6)</f>
        <v/>
      </c>
      <c r="M84" s="29">
        <f>IF(J84="","",ROUND(J84*(1+$C$9),2))</f>
        <v/>
      </c>
      <c r="N84" s="29">
        <f>IF(K84="","",ROUND(K84*(1+$C$9),2))</f>
        <v/>
      </c>
      <c r="O84" s="29">
        <f>IF(L84="","",ROUND(L84*(1+$C$9),2))</f>
        <v/>
      </c>
      <c r="P84" s="30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  <c r="R84" s="31" t="n"/>
      <c r="S84" s="8" t="n"/>
      <c r="T84" s="29">
        <f>IF($R84="","",ROUND($R84*(1-N($S84)),2))</f>
        <v/>
      </c>
      <c r="U84" s="32">
        <f>IF(OR($T84="",$T84=0,$J84=""),"",($T84-$J84)/$T84)</f>
        <v/>
      </c>
      <c r="V84" s="32">
        <f>IF(OR($T84="",$T84=0,$K84=""),"",($T84-$K84)/$T84)</f>
        <v/>
      </c>
    </row>
    <row r="85"/>
    <row r="86">
      <c r="A86" s="34" t="inlineStr">
        <is>
          <t>Baby water guns "brass"</t>
        </is>
      </c>
      <c r="B86" s="35" t="n"/>
      <c r="C86" s="35" t="n"/>
      <c r="D86" s="35" t="n"/>
      <c r="E86" s="35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R86" s="35" t="n"/>
      <c r="S86" s="35" t="n"/>
      <c r="T86" s="35" t="n"/>
      <c r="U86" s="35" t="n"/>
      <c r="V86" s="35" t="n"/>
    </row>
    <row r="87"/>
    <row r="88">
      <c r="A88" s="20" t="inlineStr">
        <is>
          <t>BMBTN01-B</t>
        </is>
      </c>
      <c r="B88" s="21">
        <f>IFERROR(INDEX(Conversion!$C$2:$C$500,MATCH($A88,Conversion!$B$2:$B$500,0)),"NOT ASSIGNED")</f>
        <v/>
      </c>
      <c r="C88" s="22" t="inlineStr">
        <is>
          <t>Brass "baby" water gun, back trigger, blue</t>
        </is>
      </c>
      <c r="D88" s="23" t="inlineStr">
        <is>
          <t>Baby WD gun, rear trigger, blue, brass</t>
        </is>
      </c>
      <c r="E88" s="24" t="n">
        <v>0.622</v>
      </c>
      <c r="F88" s="25" t="inlineStr">
        <is>
          <t>Cat p.18</t>
        </is>
      </c>
      <c r="G88" s="26" t="n">
        <v>22.418154</v>
      </c>
      <c r="H88" s="26" t="n">
        <v>19.927248</v>
      </c>
      <c r="I88" s="27" t="n"/>
      <c r="J88" s="28">
        <f>IF(G88="","",G88/$C$5*(1+$C$8)+$E88*(1+$C$7)*$C$6)</f>
        <v/>
      </c>
      <c r="K88" s="28">
        <f>IF(H88="","",H88/$C$5*(1+$C$8)+$E88*(1+$C$7)*$C$6)</f>
        <v/>
      </c>
      <c r="L88" s="28">
        <f>IF(I88="","",I88/$C$5*(1+$C$8)+$E88*(1+$C$7)*$C$6)</f>
        <v/>
      </c>
      <c r="M88" s="29">
        <f>IF(J88="","",ROUND(J88*(1+$C$9),2))</f>
        <v/>
      </c>
      <c r="N88" s="29">
        <f>IF(K88="","",ROUND(K88*(1+$C$9),2))</f>
        <v/>
      </c>
      <c r="O88" s="29">
        <f>IF(L88="","",ROUND(L88*(1+$C$9),2))</f>
        <v/>
      </c>
      <c r="P88" s="30">
        <f>TRIM(IF($B88="NOT ASSIGNED","No NW part no. ","")&amp;IFERROR(IF(INDEX(Conversion!$J$2:$J$500,MATCH($A88,Conversion!$B$2:$B$500,0))="Needs review","Conversion table: needs review. ",""),"")&amp;IF(LEFT($F88,8)="ESTIMATE","Weight estimated. ","")&amp;"")</f>
        <v/>
      </c>
      <c r="R88" s="31" t="n"/>
      <c r="S88" s="8" t="n"/>
      <c r="T88" s="29">
        <f>IF($R88="","",ROUND($R88*(1-N($S88)),2))</f>
        <v/>
      </c>
      <c r="U88" s="32">
        <f>IF(OR($T88="",$T88=0,$J88=""),"",($T88-$J88)/$T88)</f>
        <v/>
      </c>
      <c r="V88" s="32">
        <f>IF(OR($T88="",$T88=0,$K88=""),"",($T88-$K88)/$T88)</f>
        <v/>
      </c>
    </row>
    <row r="89">
      <c r="A89" s="20" t="inlineStr">
        <is>
          <t>BMBNN01-B</t>
        </is>
      </c>
      <c r="B89" s="21">
        <f>IFERROR(INDEX(Conversion!$C$2:$C$500,MATCH($A89,Conversion!$B$2:$B$500,0)),"NOT ASSIGNED")</f>
        <v/>
      </c>
      <c r="C89" s="22" t="inlineStr">
        <is>
          <t>Brass "baby" water gun, back trigger, 1/2" male outlet with adjustable spray pattern, blue</t>
        </is>
      </c>
      <c r="D89" s="23" t="inlineStr">
        <is>
          <t>Baby WD gun, rear trigger, 1/2" M outlet, adjustable nozzle, blue, brass</t>
        </is>
      </c>
      <c r="E89" s="24" t="n">
        <v>0.65</v>
      </c>
      <c r="F89" s="25" t="inlineStr">
        <is>
          <t>Cat p.37</t>
        </is>
      </c>
      <c r="G89" s="26" t="n">
        <v>22.418154</v>
      </c>
      <c r="H89" s="26" t="n">
        <v>19.927248</v>
      </c>
      <c r="I89" s="27" t="n"/>
      <c r="J89" s="28">
        <f>IF(G89="","",G89/$C$5*(1+$C$8)+$E89*(1+$C$7)*$C$6)</f>
        <v/>
      </c>
      <c r="K89" s="28">
        <f>IF(H89="","",H89/$C$5*(1+$C$8)+$E89*(1+$C$7)*$C$6)</f>
        <v/>
      </c>
      <c r="L89" s="28">
        <f>IF(I89="","",I89/$C$5*(1+$C$8)+$E89*(1+$C$7)*$C$6)</f>
        <v/>
      </c>
      <c r="M89" s="29">
        <f>IF(J89="","",ROUND(J89*(1+$C$9),2))</f>
        <v/>
      </c>
      <c r="N89" s="29">
        <f>IF(K89="","",ROUND(K89*(1+$C$9),2))</f>
        <v/>
      </c>
      <c r="O89" s="29">
        <f>IF(L89="","",ROUND(L89*(1+$C$9),2))</f>
        <v/>
      </c>
      <c r="P89" s="30">
        <f>TRIM(IF($B89="NOT ASSIGNED","No NW part no. ","")&amp;IFERROR(IF(INDEX(Conversion!$J$2:$J$500,MATCH($A89,Conversion!$B$2:$B$500,0))="Needs review","Conversion table: needs review. ",""),"")&amp;IF(LEFT($F89,8)="ESTIMATE","Weight estimated. ","")&amp;"")</f>
        <v/>
      </c>
      <c r="R89" s="31" t="n"/>
      <c r="S89" s="8" t="n"/>
      <c r="T89" s="29">
        <f>IF($R89="","",ROUND($R89*(1-N($S89)),2))</f>
        <v/>
      </c>
      <c r="U89" s="32">
        <f>IF(OR($T89="",$T89=0,$J89=""),"",($T89-$J89)/$T89)</f>
        <v/>
      </c>
      <c r="V89" s="32">
        <f>IF(OR($T89="",$T89=0,$K89=""),"",($T89-$K89)/$T89)</f>
        <v/>
      </c>
    </row>
    <row r="90">
      <c r="A90" s="20" t="inlineStr">
        <is>
          <t>BMBTL01-B</t>
        </is>
      </c>
      <c r="B90" s="21">
        <f>IFERROR(INDEX(Conversion!$C$2:$C$500,MATCH($A90,Conversion!$B$2:$B$500,0)),"NOT ASSIGNED")</f>
        <v/>
      </c>
      <c r="C90" s="22" t="inlineStr">
        <is>
          <t>Brass "baby" water gun, back trigger, 1/2" male outlet, blue</t>
        </is>
      </c>
      <c r="D90" s="23" t="inlineStr">
        <is>
          <t>Baby WD gun, rear trigger, 1/2" M outlet, blue, brass</t>
        </is>
      </c>
      <c r="E90" s="33" t="n">
        <v>0.65</v>
      </c>
      <c r="F90" s="25" t="inlineStr">
        <is>
          <t>ESTIMATE - not in catalogue; taken as BMBNN01-B</t>
        </is>
      </c>
      <c r="G90" s="26" t="n">
        <v>23.516262</v>
      </c>
      <c r="H90" s="26" t="n">
        <v>20.903344</v>
      </c>
      <c r="I90" s="27" t="n"/>
      <c r="J90" s="28">
        <f>IF(G90="","",G90/$C$5*(1+$C$8)+$E90*(1+$C$7)*$C$6)</f>
        <v/>
      </c>
      <c r="K90" s="28">
        <f>IF(H90="","",H90/$C$5*(1+$C$8)+$E90*(1+$C$7)*$C$6)</f>
        <v/>
      </c>
      <c r="L90" s="28">
        <f>IF(I90="","",I90/$C$5*(1+$C$8)+$E90*(1+$C$7)*$C$6)</f>
        <v/>
      </c>
      <c r="M90" s="29">
        <f>IF(J90="","",ROUND(J90*(1+$C$9),2))</f>
        <v/>
      </c>
      <c r="N90" s="29">
        <f>IF(K90="","",ROUND(K90*(1+$C$9),2))</f>
        <v/>
      </c>
      <c r="O90" s="29">
        <f>IF(L90="","",ROUND(L90*(1+$C$9),2))</f>
        <v/>
      </c>
      <c r="P90" s="30">
        <f>TRIM(IF($B90="NOT ASSIGNED","No NW part no. ","")&amp;IFERROR(IF(INDEX(Conversion!$J$2:$J$500,MATCH($A90,Conversion!$B$2:$B$500,0))="Needs review","Conversion table: needs review. ",""),"")&amp;IF(LEFT($F90,8)="ESTIMATE","Weight estimated. ","")&amp;"")</f>
        <v/>
      </c>
      <c r="R90" s="31" t="n"/>
      <c r="S90" s="8" t="n"/>
      <c r="T90" s="29">
        <f>IF($R90="","",ROUND($R90*(1-N($S90)),2))</f>
        <v/>
      </c>
      <c r="U90" s="32">
        <f>IF(OR($T90="",$T90=0,$J90=""),"",($T90-$J90)/$T90)</f>
        <v/>
      </c>
      <c r="V90" s="32">
        <f>IF(OR($T90="",$T90=0,$K90=""),"",($T90-$K90)/$T90)</f>
        <v/>
      </c>
    </row>
    <row r="91">
      <c r="A91" s="20" t="inlineStr">
        <is>
          <t>BMBTA01-B</t>
        </is>
      </c>
      <c r="B91" s="21">
        <f>IFERROR(INDEX(Conversion!$C$2:$C$500,MATCH($A91,Conversion!$B$2:$B$500,0)),"NOT ASSIGNED")</f>
        <v/>
      </c>
      <c r="C91" s="22" t="inlineStr">
        <is>
          <t>Brass "baby" water gun, back trigger, adapter output, blue</t>
        </is>
      </c>
      <c r="D91" s="23" t="inlineStr">
        <is>
          <t>Baby WD gun, rear trigger, adapter outlet, blue, brass</t>
        </is>
      </c>
      <c r="E91" s="33" t="n">
        <v>0.65</v>
      </c>
      <c r="F91" s="25" t="inlineStr">
        <is>
          <t>ESTIMATE - not in catalogue; taken as BMBNN01-B</t>
        </is>
      </c>
      <c r="G91" s="26" t="n">
        <v>23.516262</v>
      </c>
      <c r="H91" s="26" t="n">
        <v>20.903344</v>
      </c>
      <c r="I91" s="27" t="n"/>
      <c r="J91" s="28">
        <f>IF(G91="","",G91/$C$5*(1+$C$8)+$E91*(1+$C$7)*$C$6)</f>
        <v/>
      </c>
      <c r="K91" s="28">
        <f>IF(H91="","",H91/$C$5*(1+$C$8)+$E91*(1+$C$7)*$C$6)</f>
        <v/>
      </c>
      <c r="L91" s="28">
        <f>IF(I91="","",I91/$C$5*(1+$C$8)+$E91*(1+$C$7)*$C$6)</f>
        <v/>
      </c>
      <c r="M91" s="29">
        <f>IF(J91="","",ROUND(J91*(1+$C$9),2))</f>
        <v/>
      </c>
      <c r="N91" s="29">
        <f>IF(K91="","",ROUND(K91*(1+$C$9),2))</f>
        <v/>
      </c>
      <c r="O91" s="29">
        <f>IF(L91="","",ROUND(L91*(1+$C$9),2))</f>
        <v/>
      </c>
      <c r="P91" s="30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  <c r="R91" s="31" t="n"/>
      <c r="S91" s="8" t="n"/>
      <c r="T91" s="29">
        <f>IF($R91="","",ROUND($R91*(1-N($S91)),2))</f>
        <v/>
      </c>
      <c r="U91" s="32">
        <f>IF(OR($T91="",$T91=0,$J91=""),"",($T91-$J91)/$T91)</f>
        <v/>
      </c>
      <c r="V91" s="32">
        <f>IF(OR($T91="",$T91=0,$K91=""),"",($T91-$K91)/$T91)</f>
        <v/>
      </c>
    </row>
    <row r="92">
      <c r="A92" s="20" t="inlineStr">
        <is>
          <t>BMBTA02-B-V</t>
        </is>
      </c>
      <c r="B92" s="21">
        <f>IFERROR(INDEX(Conversion!$C$2:$C$500,MATCH($A92,Conversion!$B$2:$B$500,0)),"NOT ASSIGNED")</f>
        <v/>
      </c>
      <c r="C92" s="22" t="inlineStr">
        <is>
          <t>Brass "baby" water gun, back trigger, adapter output, viton seals, blue</t>
        </is>
      </c>
      <c r="D92" s="23" t="inlineStr">
        <is>
          <t>Baby WD gun, rear trigger, adapter outlet, Viton seals, blue, brass</t>
        </is>
      </c>
      <c r="E92" s="33" t="n">
        <v>0.65</v>
      </c>
      <c r="F92" s="25" t="inlineStr">
        <is>
          <t>ESTIMATE - not in catalogue; taken as BMBNN01-B</t>
        </is>
      </c>
      <c r="G92" s="26" t="n">
        <v>23.516262</v>
      </c>
      <c r="H92" s="26" t="n">
        <v>20.903344</v>
      </c>
      <c r="I92" s="27" t="n"/>
      <c r="J92" s="28">
        <f>IF(G92="","",G92/$C$5*(1+$C$8)+$E92*(1+$C$7)*$C$6)</f>
        <v/>
      </c>
      <c r="K92" s="28">
        <f>IF(H92="","",H92/$C$5*(1+$C$8)+$E92*(1+$C$7)*$C$6)</f>
        <v/>
      </c>
      <c r="L92" s="28">
        <f>IF(I92="","",I92/$C$5*(1+$C$8)+$E92*(1+$C$7)*$C$6)</f>
        <v/>
      </c>
      <c r="M92" s="29">
        <f>IF(J92="","",ROUND(J92*(1+$C$9),2))</f>
        <v/>
      </c>
      <c r="N92" s="29">
        <f>IF(K92="","",ROUND(K92*(1+$C$9),2))</f>
        <v/>
      </c>
      <c r="O92" s="29">
        <f>IF(L92="","",ROUND(L92*(1+$C$9),2))</f>
        <v/>
      </c>
      <c r="P92" s="30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  <c r="R92" s="31" t="n"/>
      <c r="S92" s="8" t="n"/>
      <c r="T92" s="29">
        <f>IF($R92="","",ROUND($R92*(1-N($S92)),2))</f>
        <v/>
      </c>
      <c r="U92" s="32">
        <f>IF(OR($T92="",$T92=0,$J92=""),"",($T92-$J92)/$T92)</f>
        <v/>
      </c>
      <c r="V92" s="32">
        <f>IF(OR($T92="",$T92=0,$K92=""),"",($T92-$K92)/$T92)</f>
        <v/>
      </c>
    </row>
    <row r="93"/>
    <row r="94">
      <c r="A94" s="14" t="inlineStr">
        <is>
          <t>Other water guns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R94" s="15" t="n"/>
      <c r="S94" s="15" t="n"/>
      <c r="T94" s="15" t="n"/>
      <c r="U94" s="15" t="n"/>
      <c r="V94" s="15" t="n"/>
    </row>
    <row r="95"/>
    <row r="96">
      <c r="A96" s="16" t="inlineStr">
        <is>
          <t>Qty break</t>
        </is>
      </c>
      <c r="B96" s="17" t="n"/>
      <c r="C96" s="17" t="n"/>
      <c r="D96" s="17" t="n"/>
      <c r="E96" s="17" t="n"/>
      <c r="F96" s="17" t="n"/>
      <c r="G96" s="18" t="inlineStr">
        <is>
          <t>&lt; 10 pcs</t>
        </is>
      </c>
      <c r="H96" s="18" t="inlineStr">
        <is>
          <t>≥ 10 pcs</t>
        </is>
      </c>
      <c r="I96" s="18" t="inlineStr">
        <is>
          <t>≥ 50 pcs</t>
        </is>
      </c>
      <c r="J96" s="18" t="inlineStr">
        <is>
          <t>&lt; 10 pcs</t>
        </is>
      </c>
      <c r="K96" s="18" t="inlineStr">
        <is>
          <t>≥ 10 pcs</t>
        </is>
      </c>
      <c r="L96" s="18" t="inlineStr">
        <is>
          <t>≥ 50 pcs</t>
        </is>
      </c>
      <c r="M96" s="18" t="inlineStr">
        <is>
          <t>&lt; 10 pcs</t>
        </is>
      </c>
      <c r="N96" s="18" t="inlineStr">
        <is>
          <t>≥ 10 pcs</t>
        </is>
      </c>
      <c r="O96" s="18" t="inlineStr">
        <is>
          <t>≥ 50 pcs</t>
        </is>
      </c>
      <c r="P96" s="17" t="n"/>
      <c r="R96" s="17" t="n"/>
      <c r="S96" s="17" t="n"/>
      <c r="T96" s="17" t="n"/>
      <c r="U96" s="19" t="inlineStr">
        <is>
          <t>&lt; 10 pcs</t>
        </is>
      </c>
      <c r="V96" s="19" t="inlineStr">
        <is>
          <t>≥ 10 pcs</t>
        </is>
      </c>
    </row>
    <row r="97">
      <c r="A97" s="20" t="inlineStr">
        <is>
          <t>AGIL572</t>
        </is>
      </c>
      <c r="B97" s="21">
        <f>IFERROR(INDEX(Conversion!$C$2:$C$500,MATCH($A97,Conversion!$B$2:$B$500,0)),"NOT ASSIGNED")</f>
        <v/>
      </c>
      <c r="C97" s="22" t="inlineStr">
        <is>
          <t>Water nozzle light duty, red</t>
        </is>
      </c>
      <c r="D97" s="23" t="inlineStr">
        <is>
          <t>Spray Gun XS Lite, 3/4" GHT outlet, red, chrome-plated zinc</t>
        </is>
      </c>
      <c r="E97" s="24" t="n">
        <v>0.2</v>
      </c>
      <c r="F97" s="25" t="inlineStr">
        <is>
          <t>Cat p.29</t>
        </is>
      </c>
      <c r="G97" s="26" t="n">
        <v>11.19</v>
      </c>
      <c r="H97" s="27" t="n"/>
      <c r="I97" s="27" t="n"/>
      <c r="J97" s="28">
        <f>IF(G97="","",G97/$C$5*(1+$C$8)+$E97*(1+$C$7)*$C$6)</f>
        <v/>
      </c>
      <c r="K97" s="28">
        <f>IF(H97="","",H97/$C$5*(1+$C$8)+$E97*(1+$C$7)*$C$6)</f>
        <v/>
      </c>
      <c r="L97" s="28">
        <f>IF(I97="","",I97/$C$5*(1+$C$8)+$E97*(1+$C$7)*$C$6)</f>
        <v/>
      </c>
      <c r="M97" s="29">
        <f>IF(J97="","",ROUND(J97*(1+$C$9),2))</f>
        <v/>
      </c>
      <c r="N97" s="29">
        <f>IF(K97="","",ROUND(K97*(1+$C$9),2))</f>
        <v/>
      </c>
      <c r="O97" s="29">
        <f>IF(L97="","",ROUND(L97*(1+$C$9),2))</f>
        <v/>
      </c>
      <c r="P97" s="30">
        <f>TRIM(IF($B97="NOT ASSIGNED","No NW part no. ","")&amp;IFERROR(IF(INDEX(Conversion!$J$2:$J$500,MATCH($A97,Conversion!$B$2:$B$500,0))="Needs review","Conversion table: needs review. ",""),"")&amp;IF(LEFT($F97,8)="ESTIMATE","Weight estimated. ","")&amp;"AKBO note at 3rd break: '48pcs 9,87'")</f>
        <v/>
      </c>
      <c r="R97" s="31" t="n"/>
      <c r="S97" s="8" t="n"/>
      <c r="T97" s="29">
        <f>IF($R97="","",ROUND($R97*(1-N($S97)),2))</f>
        <v/>
      </c>
      <c r="U97" s="32">
        <f>IF(OR($T97="",$T97=0,$J97=""),"",($T97-$J97)/$T97)</f>
        <v/>
      </c>
      <c r="V97" s="32">
        <f>IF(OR($T97="",$T97=0,$K97=""),"",($T97-$K97)/$T97)</f>
        <v/>
      </c>
    </row>
    <row r="98"/>
    <row r="99">
      <c r="A99" s="20" t="inlineStr">
        <is>
          <t>AKMSH03-B</t>
        </is>
      </c>
      <c r="B99" s="21">
        <f>IFERROR(INDEX(Conversion!$C$2:$C$500,MATCH($A99,Conversion!$B$2:$B$500,0)),"NOT ASSIGNED")</f>
        <v/>
      </c>
      <c r="C99" s="22" t="inlineStr">
        <is>
          <t>Brass spray head black, blue handgrip</t>
        </is>
      </c>
      <c r="D99" s="23" t="inlineStr">
        <is>
          <t>Twistflow WD Nozzle, w/ handle, black head / blue handle, brass</t>
        </is>
      </c>
      <c r="E99" s="24" t="n">
        <v>0.525</v>
      </c>
      <c r="F99" s="25" t="inlineStr">
        <is>
          <t>Cat p.54 (head + brass handle)</t>
        </is>
      </c>
      <c r="G99" s="26" t="n">
        <v>40.971216</v>
      </c>
      <c r="H99" s="26" t="n">
        <v>35.849814</v>
      </c>
      <c r="I99" s="26" t="n">
        <v>33.289113</v>
      </c>
      <c r="J99" s="28">
        <f>IF(G99="","",G99/$C$5*(1+$C$8)+$E99*(1+$C$7)*$C$6)</f>
        <v/>
      </c>
      <c r="K99" s="28">
        <f>IF(H99="","",H99/$C$5*(1+$C$8)+$E99*(1+$C$7)*$C$6)</f>
        <v/>
      </c>
      <c r="L99" s="28">
        <f>IF(I99="","",I99/$C$5*(1+$C$8)+$E99*(1+$C$7)*$C$6)</f>
        <v/>
      </c>
      <c r="M99" s="29">
        <f>IF(J99="","",ROUND(J99*(1+$C$9),2))</f>
        <v/>
      </c>
      <c r="N99" s="29">
        <f>IF(K99="","",ROUND(K99*(1+$C$9),2))</f>
        <v/>
      </c>
      <c r="O99" s="29">
        <f>IF(L99="","",ROUND(L99*(1+$C$9),2))</f>
        <v/>
      </c>
      <c r="P99" s="30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  <c r="R99" s="31" t="n"/>
      <c r="S99" s="8" t="n"/>
      <c r="T99" s="29">
        <f>IF($R99="","",ROUND($R99*(1-N($S99)),2))</f>
        <v/>
      </c>
      <c r="U99" s="32">
        <f>IF(OR($T99="",$T99=0,$J99=""),"",($T99-$J99)/$T99)</f>
        <v/>
      </c>
      <c r="V99" s="32">
        <f>IF(OR($T99="",$T99=0,$K99=""),"",($T99-$K99)/$T99)</f>
        <v/>
      </c>
    </row>
    <row r="100">
      <c r="A100" s="20" t="inlineStr">
        <is>
          <t>AKMSH03-R</t>
        </is>
      </c>
      <c r="B100" s="21">
        <f>IFERROR(INDEX(Conversion!$C$2:$C$500,MATCH($A100,Conversion!$B$2:$B$500,0)),"NOT ASSIGNED")</f>
        <v/>
      </c>
      <c r="C100" s="22" t="inlineStr">
        <is>
          <t>Brass spray head black, red handgrip</t>
        </is>
      </c>
      <c r="D100" s="23" t="inlineStr">
        <is>
          <t>Twistflow WD Nozzle, w/ handle, black head / red handle, brass</t>
        </is>
      </c>
      <c r="E100" s="24" t="n">
        <v>0.525</v>
      </c>
      <c r="F100" s="25" t="inlineStr">
        <is>
          <t>Cat p.54 (head + brass handle)</t>
        </is>
      </c>
      <c r="G100" s="26" t="n">
        <v>40.971216</v>
      </c>
      <c r="H100" s="26" t="n">
        <v>35.849814</v>
      </c>
      <c r="I100" s="26" t="n">
        <v>33.289113</v>
      </c>
      <c r="J100" s="28">
        <f>IF(G100="","",G100/$C$5*(1+$C$8)+$E100*(1+$C$7)*$C$6)</f>
        <v/>
      </c>
      <c r="K100" s="28">
        <f>IF(H100="","",H100/$C$5*(1+$C$8)+$E100*(1+$C$7)*$C$6)</f>
        <v/>
      </c>
      <c r="L100" s="28">
        <f>IF(I100="","",I100/$C$5*(1+$C$8)+$E100*(1+$C$7)*$C$6)</f>
        <v/>
      </c>
      <c r="M100" s="29">
        <f>IF(J100="","",ROUND(J100*(1+$C$9),2))</f>
        <v/>
      </c>
      <c r="N100" s="29">
        <f>IF(K100="","",ROUND(K100*(1+$C$9),2))</f>
        <v/>
      </c>
      <c r="O100" s="29">
        <f>IF(L100="","",ROUND(L100*(1+$C$9),2))</f>
        <v/>
      </c>
      <c r="P100" s="30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  <c r="R100" s="31" t="n"/>
      <c r="S100" s="8" t="n"/>
      <c r="T100" s="29">
        <f>IF($R100="","",ROUND($R100*(1-N($S100)),2))</f>
        <v/>
      </c>
      <c r="U100" s="32">
        <f>IF(OR($T100="",$T100=0,$J100=""),"",($T100-$J100)/$T100)</f>
        <v/>
      </c>
      <c r="V100" s="32">
        <f>IF(OR($T100="",$T100=0,$K100=""),"",($T100-$K100)/$T100)</f>
        <v/>
      </c>
    </row>
    <row r="101">
      <c r="A101" s="20" t="inlineStr">
        <is>
          <t>AKMSH03-W</t>
        </is>
      </c>
      <c r="B101" s="21">
        <f>IFERROR(INDEX(Conversion!$C$2:$C$500,MATCH($A101,Conversion!$B$2:$B$500,0)),"NOT ASSIGNED")</f>
        <v/>
      </c>
      <c r="C101" s="22" t="inlineStr">
        <is>
          <t>Brass spray head black, white handgrip</t>
        </is>
      </c>
      <c r="D101" s="23" t="inlineStr">
        <is>
          <t>Twistflow WD Nozzle, w/ handle, black head / white handle, brass</t>
        </is>
      </c>
      <c r="E101" s="24" t="n">
        <v>0.525</v>
      </c>
      <c r="F101" s="25" t="inlineStr">
        <is>
          <t>Cat p.54 (head + brass handle)</t>
        </is>
      </c>
      <c r="G101" s="26" t="n">
        <v>40.971216</v>
      </c>
      <c r="H101" s="26" t="n">
        <v>35.849814</v>
      </c>
      <c r="I101" s="26" t="n">
        <v>33.289113</v>
      </c>
      <c r="J101" s="28">
        <f>IF(G101="","",G101/$C$5*(1+$C$8)+$E101*(1+$C$7)*$C$6)</f>
        <v/>
      </c>
      <c r="K101" s="28">
        <f>IF(H101="","",H101/$C$5*(1+$C$8)+$E101*(1+$C$7)*$C$6)</f>
        <v/>
      </c>
      <c r="L101" s="28">
        <f>IF(I101="","",I101/$C$5*(1+$C$8)+$E101*(1+$C$7)*$C$6)</f>
        <v/>
      </c>
      <c r="M101" s="29">
        <f>IF(J101="","",ROUND(J101*(1+$C$9),2))</f>
        <v/>
      </c>
      <c r="N101" s="29">
        <f>IF(K101="","",ROUND(K101*(1+$C$9),2))</f>
        <v/>
      </c>
      <c r="O101" s="29">
        <f>IF(L101="","",ROUND(L101*(1+$C$9),2))</f>
        <v/>
      </c>
      <c r="P101" s="30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  <c r="R101" s="31" t="n"/>
      <c r="S101" s="8" t="n"/>
      <c r="T101" s="29">
        <f>IF($R101="","",ROUND($R101*(1-N($S101)),2))</f>
        <v/>
      </c>
      <c r="U101" s="32">
        <f>IF(OR($T101="",$T101=0,$J101=""),"",($T101-$J101)/$T101)</f>
        <v/>
      </c>
      <c r="V101" s="32">
        <f>IF(OR($T101="",$T101=0,$K101=""),"",($T101-$K101)/$T101)</f>
        <v/>
      </c>
    </row>
    <row r="102">
      <c r="A102" s="20" t="inlineStr">
        <is>
          <t>AKMSHH4-BL</t>
        </is>
      </c>
      <c r="B102" s="21">
        <f>IFERROR(INDEX(Conversion!$C$2:$C$500,MATCH($A102,Conversion!$B$2:$B$500,0)),"NOT ASSIGNED")</f>
        <v/>
      </c>
      <c r="C102" s="22" t="inlineStr">
        <is>
          <t>Spray head in brass, black with EPDM &amp; Clipperlon seals</t>
        </is>
      </c>
      <c r="D102" s="23" t="inlineStr">
        <is>
          <t>Twistflow WD Nozzle, head only, 1/2" M, black, brass</t>
        </is>
      </c>
      <c r="E102" s="24" t="n">
        <v>0.2</v>
      </c>
      <c r="F102" s="25" t="inlineStr">
        <is>
          <t>Cat p.54 (head only)</t>
        </is>
      </c>
      <c r="G102" s="26" t="n">
        <v>30.457504</v>
      </c>
      <c r="H102" s="26" t="n">
        <v>26.650316</v>
      </c>
      <c r="I102" s="26" t="n">
        <v>24.746722</v>
      </c>
      <c r="J102" s="28">
        <f>IF(G102="","",G102/$C$5*(1+$C$8)+$E102*(1+$C$7)*$C$6)</f>
        <v/>
      </c>
      <c r="K102" s="28">
        <f>IF(H102="","",H102/$C$5*(1+$C$8)+$E102*(1+$C$7)*$C$6)</f>
        <v/>
      </c>
      <c r="L102" s="28">
        <f>IF(I102="","",I102/$C$5*(1+$C$8)+$E102*(1+$C$7)*$C$6)</f>
        <v/>
      </c>
      <c r="M102" s="29">
        <f>IF(J102="","",ROUND(J102*(1+$C$9),2))</f>
        <v/>
      </c>
      <c r="N102" s="29">
        <f>IF(K102="","",ROUND(K102*(1+$C$9),2))</f>
        <v/>
      </c>
      <c r="O102" s="29">
        <f>IF(L102="","",ROUND(L102*(1+$C$9),2))</f>
        <v/>
      </c>
      <c r="P102" s="30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  <c r="R102" s="31" t="n"/>
      <c r="S102" s="8" t="n"/>
      <c r="T102" s="29">
        <f>IF($R102="","",ROUND($R102*(1-N($S102)),2))</f>
        <v/>
      </c>
      <c r="U102" s="32">
        <f>IF(OR($T102="",$T102=0,$J102=""),"",($T102-$J102)/$T102)</f>
        <v/>
      </c>
      <c r="V102" s="32">
        <f>IF(OR($T102="",$T102=0,$K102=""),"",($T102-$K102)/$T102)</f>
        <v/>
      </c>
    </row>
    <row r="103"/>
    <row r="104">
      <c r="A104" s="20" t="inlineStr">
        <is>
          <t>AKRSH03-B</t>
        </is>
      </c>
      <c r="B104" s="21">
        <f>IFERROR(INDEX(Conversion!$C$2:$C$500,MATCH($A104,Conversion!$B$2:$B$500,0)),"NOT ASSIGNED")</f>
        <v/>
      </c>
      <c r="C104" s="22" t="inlineStr">
        <is>
          <t>St.st. spray head black, blue handgrip</t>
        </is>
      </c>
      <c r="D104" s="23" t="inlineStr">
        <is>
          <t>Twistflow WD Nozzle, w/ handle, black head / blue handle, stainless steel</t>
        </is>
      </c>
      <c r="E104" s="24" t="n">
        <v>0.55</v>
      </c>
      <c r="F104" s="25" t="inlineStr">
        <is>
          <t>Cat p.54 (head + st.st. handle)</t>
        </is>
      </c>
      <c r="G104" s="26" t="n">
        <v>47.117312</v>
      </c>
      <c r="H104" s="26" t="n">
        <v>41.227648</v>
      </c>
      <c r="I104" s="26" t="n">
        <v>38.282816</v>
      </c>
      <c r="J104" s="28">
        <f>IF(G104="","",G104/$C$5*(1+$C$8)+$E104*(1+$C$7)*$C$6)</f>
        <v/>
      </c>
      <c r="K104" s="28">
        <f>IF(H104="","",H104/$C$5*(1+$C$8)+$E104*(1+$C$7)*$C$6)</f>
        <v/>
      </c>
      <c r="L104" s="28">
        <f>IF(I104="","",I104/$C$5*(1+$C$8)+$E104*(1+$C$7)*$C$6)</f>
        <v/>
      </c>
      <c r="M104" s="29">
        <f>IF(J104="","",ROUND(J104*(1+$C$9),2))</f>
        <v/>
      </c>
      <c r="N104" s="29">
        <f>IF(K104="","",ROUND(K104*(1+$C$9),2))</f>
        <v/>
      </c>
      <c r="O104" s="29">
        <f>IF(L104="","",ROUND(L104*(1+$C$9),2))</f>
        <v/>
      </c>
      <c r="P104" s="30">
        <f>TRIM(IF($B104="NOT ASSIGNED","No NW part no. ","")&amp;IFERROR(IF(INDEX(Conversion!$J$2:$J$500,MATCH($A104,Conversion!$B$2:$B$500,0))="Needs review","Conversion table: needs review. ",""),"")&amp;IF(LEFT($F104,8)="ESTIMATE","Weight estimated. ","")&amp;"")</f>
        <v/>
      </c>
      <c r="R104" s="31" t="n"/>
      <c r="S104" s="8" t="n"/>
      <c r="T104" s="29">
        <f>IF($R104="","",ROUND($R104*(1-N($S104)),2))</f>
        <v/>
      </c>
      <c r="U104" s="32">
        <f>IF(OR($T104="",$T104=0,$J104=""),"",($T104-$J104)/$T104)</f>
        <v/>
      </c>
      <c r="V104" s="32">
        <f>IF(OR($T104="",$T104=0,$K104=""),"",($T104-$K104)/$T104)</f>
        <v/>
      </c>
    </row>
    <row r="105">
      <c r="A105" s="20" t="inlineStr">
        <is>
          <t>AKRSH03-R</t>
        </is>
      </c>
      <c r="B105" s="21">
        <f>IFERROR(INDEX(Conversion!$C$2:$C$500,MATCH($A105,Conversion!$B$2:$B$500,0)),"NOT ASSIGNED")</f>
        <v/>
      </c>
      <c r="C105" s="22" t="inlineStr">
        <is>
          <t>St.st. spray head black, red handgrip</t>
        </is>
      </c>
      <c r="D105" s="23" t="inlineStr">
        <is>
          <t>Twistflow WD Nozzle, w/ handle, black head / red handle, stainless steel</t>
        </is>
      </c>
      <c r="E105" s="24" t="n">
        <v>0.55</v>
      </c>
      <c r="F105" s="25" t="inlineStr">
        <is>
          <t>Cat p.54 (head + st.st. handle)</t>
        </is>
      </c>
      <c r="G105" s="26" t="n">
        <v>47.117312</v>
      </c>
      <c r="H105" s="26" t="n">
        <v>41.227648</v>
      </c>
      <c r="I105" s="26" t="n">
        <v>38.282816</v>
      </c>
      <c r="J105" s="28">
        <f>IF(G105="","",G105/$C$5*(1+$C$8)+$E105*(1+$C$7)*$C$6)</f>
        <v/>
      </c>
      <c r="K105" s="28">
        <f>IF(H105="","",H105/$C$5*(1+$C$8)+$E105*(1+$C$7)*$C$6)</f>
        <v/>
      </c>
      <c r="L105" s="28">
        <f>IF(I105="","",I105/$C$5*(1+$C$8)+$E105*(1+$C$7)*$C$6)</f>
        <v/>
      </c>
      <c r="M105" s="29">
        <f>IF(J105="","",ROUND(J105*(1+$C$9),2))</f>
        <v/>
      </c>
      <c r="N105" s="29">
        <f>IF(K105="","",ROUND(K105*(1+$C$9),2))</f>
        <v/>
      </c>
      <c r="O105" s="29">
        <f>IF(L105="","",ROUND(L105*(1+$C$9),2))</f>
        <v/>
      </c>
      <c r="P105" s="30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  <c r="R105" s="31" t="n"/>
      <c r="S105" s="8" t="n"/>
      <c r="T105" s="29">
        <f>IF($R105="","",ROUND($R105*(1-N($S105)),2))</f>
        <v/>
      </c>
      <c r="U105" s="32">
        <f>IF(OR($T105="",$T105=0,$J105=""),"",($T105-$J105)/$T105)</f>
        <v/>
      </c>
      <c r="V105" s="32">
        <f>IF(OR($T105="",$T105=0,$K105=""),"",($T105-$K105)/$T105)</f>
        <v/>
      </c>
    </row>
    <row r="106">
      <c r="A106" s="20" t="inlineStr">
        <is>
          <t>AKRSH03-W</t>
        </is>
      </c>
      <c r="B106" s="21">
        <f>IFERROR(INDEX(Conversion!$C$2:$C$500,MATCH($A106,Conversion!$B$2:$B$500,0)),"NOT ASSIGNED")</f>
        <v/>
      </c>
      <c r="C106" s="22" t="inlineStr">
        <is>
          <t>St.st. spray head black, white handgrip</t>
        </is>
      </c>
      <c r="D106" s="23" t="inlineStr">
        <is>
          <t>Twistflow WD Nozzle, w/ handle, black head / white handle, stainless steel</t>
        </is>
      </c>
      <c r="E106" s="24" t="n">
        <v>0.55</v>
      </c>
      <c r="F106" s="25" t="inlineStr">
        <is>
          <t>Cat p.54 (head + st.st. handle)</t>
        </is>
      </c>
      <c r="G106" s="26" t="n">
        <v>47.117312</v>
      </c>
      <c r="H106" s="26" t="n">
        <v>41.227648</v>
      </c>
      <c r="I106" s="26" t="n">
        <v>38.282816</v>
      </c>
      <c r="J106" s="28">
        <f>IF(G106="","",G106/$C$5*(1+$C$8)+$E106*(1+$C$7)*$C$6)</f>
        <v/>
      </c>
      <c r="K106" s="28">
        <f>IF(H106="","",H106/$C$5*(1+$C$8)+$E106*(1+$C$7)*$C$6)</f>
        <v/>
      </c>
      <c r="L106" s="28">
        <f>IF(I106="","",I106/$C$5*(1+$C$8)+$E106*(1+$C$7)*$C$6)</f>
        <v/>
      </c>
      <c r="M106" s="29">
        <f>IF(J106="","",ROUND(J106*(1+$C$9),2))</f>
        <v/>
      </c>
      <c r="N106" s="29">
        <f>IF(K106="","",ROUND(K106*(1+$C$9),2))</f>
        <v/>
      </c>
      <c r="O106" s="29">
        <f>IF(L106="","",ROUND(L106*(1+$C$9),2))</f>
        <v/>
      </c>
      <c r="P106" s="30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  <c r="R106" s="31" t="n"/>
      <c r="S106" s="8" t="n"/>
      <c r="T106" s="29">
        <f>IF($R106="","",ROUND($R106*(1-N($S106)),2))</f>
        <v/>
      </c>
      <c r="U106" s="32">
        <f>IF(OR($T106="",$T106=0,$J106=""),"",($T106-$J106)/$T106)</f>
        <v/>
      </c>
      <c r="V106" s="32">
        <f>IF(OR($T106="",$T106=0,$K106=""),"",($T106-$K106)/$T106)</f>
        <v/>
      </c>
    </row>
    <row r="107">
      <c r="A107" s="20" t="inlineStr">
        <is>
          <t>AKRSHW3-W</t>
        </is>
      </c>
      <c r="B107" s="21">
        <f>IFERROR(INDEX(Conversion!$C$2:$C$500,MATCH($A107,Conversion!$B$2:$B$500,0)),"NOT ASSIGNED")</f>
        <v/>
      </c>
      <c r="C107" s="22" t="inlineStr">
        <is>
          <t>St.st. spray head white, white handgrip</t>
        </is>
      </c>
      <c r="D107" s="23" t="inlineStr">
        <is>
          <t>Twistflow WD Nozzle, w/ handle, white head / white handle, stainless steel</t>
        </is>
      </c>
      <c r="E107" s="24" t="n">
        <v>0.55</v>
      </c>
      <c r="F107" s="25" t="inlineStr">
        <is>
          <t>Cat p.54 (head + st.st. handle)</t>
        </is>
      </c>
      <c r="G107" s="26" t="n">
        <v>48.134768</v>
      </c>
      <c r="H107" s="26" t="n">
        <v>42.117922</v>
      </c>
      <c r="I107" s="26" t="n">
        <v>39.109499</v>
      </c>
      <c r="J107" s="28">
        <f>IF(G107="","",G107/$C$5*(1+$C$8)+$E107*(1+$C$7)*$C$6)</f>
        <v/>
      </c>
      <c r="K107" s="28">
        <f>IF(H107="","",H107/$C$5*(1+$C$8)+$E107*(1+$C$7)*$C$6)</f>
        <v/>
      </c>
      <c r="L107" s="28">
        <f>IF(I107="","",I107/$C$5*(1+$C$8)+$E107*(1+$C$7)*$C$6)</f>
        <v/>
      </c>
      <c r="M107" s="29">
        <f>IF(J107="","",ROUND(J107*(1+$C$9),2))</f>
        <v/>
      </c>
      <c r="N107" s="29">
        <f>IF(K107="","",ROUND(K107*(1+$C$9),2))</f>
        <v/>
      </c>
      <c r="O107" s="29">
        <f>IF(L107="","",ROUND(L107*(1+$C$9),2))</f>
        <v/>
      </c>
      <c r="P107" s="30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  <c r="R107" s="31" t="n"/>
      <c r="S107" s="8" t="n"/>
      <c r="T107" s="29">
        <f>IF($R107="","",ROUND($R107*(1-N($S107)),2))</f>
        <v/>
      </c>
      <c r="U107" s="32">
        <f>IF(OR($T107="",$T107=0,$J107=""),"",($T107-$J107)/$T107)</f>
        <v/>
      </c>
      <c r="V107" s="32">
        <f>IF(OR($T107="",$T107=0,$K107=""),"",($T107-$K107)/$T107)</f>
        <v/>
      </c>
    </row>
    <row r="108">
      <c r="A108" s="20" t="inlineStr">
        <is>
          <t>AKRSHH4-BL</t>
        </is>
      </c>
      <c r="B108" s="21">
        <f>IFERROR(INDEX(Conversion!$C$2:$C$500,MATCH($A108,Conversion!$B$2:$B$500,0)),"NOT ASSIGNED")</f>
        <v/>
      </c>
      <c r="C108" s="22" t="inlineStr">
        <is>
          <t>Spray head in stainless steel, black with EPDM &amp; Clipperlon seals</t>
        </is>
      </c>
      <c r="D108" s="23" t="inlineStr">
        <is>
          <t>Twistflow WD Nozzle, head only, 1/2" M, black, stainless steel</t>
        </is>
      </c>
      <c r="E108" s="24" t="n">
        <v>0.2</v>
      </c>
      <c r="F108" s="25" t="inlineStr">
        <is>
          <t>Cat p.54 (head only)</t>
        </is>
      </c>
      <c r="G108" s="26" t="n">
        <v>36.553968</v>
      </c>
      <c r="H108" s="26" t="n">
        <v>31.984722</v>
      </c>
      <c r="I108" s="26" t="n">
        <v>29.700099</v>
      </c>
      <c r="J108" s="28">
        <f>IF(G108="","",G108/$C$5*(1+$C$8)+$E108*(1+$C$7)*$C$6)</f>
        <v/>
      </c>
      <c r="K108" s="28">
        <f>IF(H108="","",H108/$C$5*(1+$C$8)+$E108*(1+$C$7)*$C$6)</f>
        <v/>
      </c>
      <c r="L108" s="28">
        <f>IF(I108="","",I108/$C$5*(1+$C$8)+$E108*(1+$C$7)*$C$6)</f>
        <v/>
      </c>
      <c r="M108" s="29">
        <f>IF(J108="","",ROUND(J108*(1+$C$9),2))</f>
        <v/>
      </c>
      <c r="N108" s="29">
        <f>IF(K108="","",ROUND(K108*(1+$C$9),2))</f>
        <v/>
      </c>
      <c r="O108" s="29">
        <f>IF(L108="","",ROUND(L108*(1+$C$9),2))</f>
        <v/>
      </c>
      <c r="P108" s="30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  <c r="R108" s="31" t="n"/>
      <c r="S108" s="8" t="n"/>
      <c r="T108" s="29">
        <f>IF($R108="","",ROUND($R108*(1-N($S108)),2))</f>
        <v/>
      </c>
      <c r="U108" s="32">
        <f>IF(OR($T108="",$T108=0,$J108=""),"",($T108-$J108)/$T108)</f>
        <v/>
      </c>
      <c r="V108" s="32">
        <f>IF(OR($T108="",$T108=0,$K108=""),"",($T108-$K108)/$T108)</f>
        <v/>
      </c>
    </row>
    <row r="109">
      <c r="A109" s="20" t="inlineStr">
        <is>
          <t>AKRSHH4-W</t>
        </is>
      </c>
      <c r="B109" s="21">
        <f>IFERROR(INDEX(Conversion!$C$2:$C$500,MATCH($A109,Conversion!$B$2:$B$500,0)),"NOT ASSIGNED")</f>
        <v/>
      </c>
      <c r="C109" s="22" t="inlineStr">
        <is>
          <t>Spray head in stainless steel, white with EPDM &amp; Clipperlon seals</t>
        </is>
      </c>
      <c r="D109" s="23" t="inlineStr">
        <is>
          <t>Twistflow WD Nozzle, head only, 1/2" M, white, stainless steel</t>
        </is>
      </c>
      <c r="E109" s="24" t="n">
        <v>0.2</v>
      </c>
      <c r="F109" s="25" t="inlineStr">
        <is>
          <t>Cat p.54 (head only)</t>
        </is>
      </c>
      <c r="G109" s="26" t="n">
        <v>37.621056</v>
      </c>
      <c r="H109" s="26" t="n">
        <v>32.918424</v>
      </c>
      <c r="I109" s="26" t="n">
        <v>30.567108</v>
      </c>
      <c r="J109" s="28">
        <f>IF(G109="","",G109/$C$5*(1+$C$8)+$E109*(1+$C$7)*$C$6)</f>
        <v/>
      </c>
      <c r="K109" s="28">
        <f>IF(H109="","",H109/$C$5*(1+$C$8)+$E109*(1+$C$7)*$C$6)</f>
        <v/>
      </c>
      <c r="L109" s="28">
        <f>IF(I109="","",I109/$C$5*(1+$C$8)+$E109*(1+$C$7)*$C$6)</f>
        <v/>
      </c>
      <c r="M109" s="29">
        <f>IF(J109="","",ROUND(J109*(1+$C$9),2))</f>
        <v/>
      </c>
      <c r="N109" s="29">
        <f>IF(K109="","",ROUND(K109*(1+$C$9),2))</f>
        <v/>
      </c>
      <c r="O109" s="29">
        <f>IF(L109="","",ROUND(L109*(1+$C$9),2))</f>
        <v/>
      </c>
      <c r="P109" s="30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  <c r="R109" s="31" t="n"/>
      <c r="S109" s="8" t="n"/>
      <c r="T109" s="29">
        <f>IF($R109="","",ROUND($R109*(1-N($S109)),2))</f>
        <v/>
      </c>
      <c r="U109" s="32">
        <f>IF(OR($T109="",$T109=0,$J109=""),"",($T109-$J109)/$T109)</f>
        <v/>
      </c>
      <c r="V109" s="32">
        <f>IF(OR($T109="",$T109=0,$K109=""),"",($T109-$K109)/$T109)</f>
        <v/>
      </c>
    </row>
    <row r="110"/>
    <row r="111">
      <c r="A111" s="20" t="inlineStr">
        <is>
          <t>AKNSH01-B</t>
        </is>
      </c>
      <c r="B111" s="21">
        <f>IFERROR(INDEX(Conversion!$C$2:$C$500,MATCH($A111,Conversion!$B$2:$B$500,0)),"NOT ASSIGNED")</f>
        <v/>
      </c>
      <c r="C111" s="22" t="inlineStr">
        <is>
          <t>Light weight spray head, blue, 3/4" BSP male</t>
        </is>
      </c>
      <c r="D111" s="23" t="inlineStr">
        <is>
          <t>Twistflow-L Lite nozzle, 3/4" M, blue, polypropylene</t>
        </is>
      </c>
      <c r="E111" s="24" t="n">
        <v>0.245</v>
      </c>
      <c r="F111" s="25" t="inlineStr">
        <is>
          <t>Cat p.56</t>
        </is>
      </c>
      <c r="G111" s="26" t="n">
        <v>29.067808</v>
      </c>
      <c r="H111" s="26" t="n">
        <v>25.434332</v>
      </c>
      <c r="I111" s="26" t="n">
        <v>23.617594</v>
      </c>
      <c r="J111" s="28">
        <f>IF(G111="","",G111/$C$5*(1+$C$8)+$E111*(1+$C$7)*$C$6)</f>
        <v/>
      </c>
      <c r="K111" s="28">
        <f>IF(H111="","",H111/$C$5*(1+$C$8)+$E111*(1+$C$7)*$C$6)</f>
        <v/>
      </c>
      <c r="L111" s="28">
        <f>IF(I111="","",I111/$C$5*(1+$C$8)+$E111*(1+$C$7)*$C$6)</f>
        <v/>
      </c>
      <c r="M111" s="29">
        <f>IF(J111="","",ROUND(J111*(1+$C$9),2))</f>
        <v/>
      </c>
      <c r="N111" s="29">
        <f>IF(K111="","",ROUND(K111*(1+$C$9),2))</f>
        <v/>
      </c>
      <c r="O111" s="29">
        <f>IF(L111="","",ROUND(L111*(1+$C$9),2))</f>
        <v/>
      </c>
      <c r="P111" s="30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  <c r="R111" s="31" t="n"/>
      <c r="S111" s="8" t="n"/>
      <c r="T111" s="29">
        <f>IF($R111="","",ROUND($R111*(1-N($S111)),2))</f>
        <v/>
      </c>
      <c r="U111" s="32">
        <f>IF(OR($T111="",$T111=0,$J111=""),"",($T111-$J111)/$T111)</f>
        <v/>
      </c>
      <c r="V111" s="32">
        <f>IF(OR($T111="",$T111=0,$K111=""),"",($T111-$K111)/$T111)</f>
        <v/>
      </c>
    </row>
    <row r="112"/>
    <row r="113">
      <c r="A113" s="20" t="inlineStr">
        <is>
          <t>AKMSHHL1-BL</t>
        </is>
      </c>
      <c r="B113" s="21">
        <f>IFERROR(INDEX(Conversion!$C$2:$C$500,MATCH($A113,Conversion!$B$2:$B$500,0)),"NOT ASSIGNED")</f>
        <v/>
      </c>
      <c r="C113" s="22" t="inlineStr">
        <is>
          <t>Brass water saving spray head, black</t>
        </is>
      </c>
      <c r="D113" s="23" t="inlineStr">
        <is>
          <t>Twistflow Lite WD Nozzle, head only, 1/2" M, black, brass</t>
        </is>
      </c>
      <c r="E113" s="33" t="n">
        <v>0.21</v>
      </c>
      <c r="F113" s="25" t="inlineStr">
        <is>
          <t>ESTIMATE - AKMSHL1-B 510 g less GRIPML1-B 300 g (p.53/55)</t>
        </is>
      </c>
      <c r="G113" s="26" t="n">
        <v>19.513648</v>
      </c>
      <c r="H113" s="26" t="n">
        <v>17.074442</v>
      </c>
      <c r="I113" s="26" t="n">
        <v>15.854839</v>
      </c>
      <c r="J113" s="28">
        <f>IF(G113="","",G113/$C$5*(1+$C$8)+$E113*(1+$C$7)*$C$6)</f>
        <v/>
      </c>
      <c r="K113" s="28">
        <f>IF(H113="","",H113/$C$5*(1+$C$8)+$E113*(1+$C$7)*$C$6)</f>
        <v/>
      </c>
      <c r="L113" s="28">
        <f>IF(I113="","",I113/$C$5*(1+$C$8)+$E113*(1+$C$7)*$C$6)</f>
        <v/>
      </c>
      <c r="M113" s="29">
        <f>IF(J113="","",ROUND(J113*(1+$C$9),2))</f>
        <v/>
      </c>
      <c r="N113" s="29">
        <f>IF(K113="","",ROUND(K113*(1+$C$9),2))</f>
        <v/>
      </c>
      <c r="O113" s="29">
        <f>IF(L113="","",ROUND(L113*(1+$C$9),2))</f>
        <v/>
      </c>
      <c r="P113" s="30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  <c r="R113" s="31" t="n"/>
      <c r="S113" s="8" t="n"/>
      <c r="T113" s="29">
        <f>IF($R113="","",ROUND($R113*(1-N($S113)),2))</f>
        <v/>
      </c>
      <c r="U113" s="32">
        <f>IF(OR($T113="",$T113=0,$J113=""),"",($T113-$J113)/$T113)</f>
        <v/>
      </c>
      <c r="V113" s="32">
        <f>IF(OR($T113="",$T113=0,$K113=""),"",($T113-$K113)/$T113)</f>
        <v/>
      </c>
    </row>
    <row r="114">
      <c r="A114" s="20" t="inlineStr">
        <is>
          <t>AKMSHL1-B</t>
        </is>
      </c>
      <c r="B114" s="21">
        <f>IFERROR(INDEX(Conversion!$C$2:$C$500,MATCH($A114,Conversion!$B$2:$B$500,0)),"NOT ASSIGNED")</f>
        <v/>
      </c>
      <c r="C114" s="22" t="inlineStr">
        <is>
          <t>Brass water saving spray head with handgrip, blue</t>
        </is>
      </c>
      <c r="D114" s="23" t="inlineStr">
        <is>
          <t>Twistflow Lite WD Nozzle, w/ handle, blue, brass</t>
        </is>
      </c>
      <c r="E114" s="24" t="n">
        <v>0.51</v>
      </c>
      <c r="F114" s="25" t="inlineStr">
        <is>
          <t>Cat p.53</t>
        </is>
      </c>
      <c r="G114" s="26" t="n">
        <v>31.6404</v>
      </c>
      <c r="H114" s="26" t="n">
        <v>27.68535</v>
      </c>
      <c r="I114" s="26" t="n">
        <v>25.707825</v>
      </c>
      <c r="J114" s="28">
        <f>IF(G114="","",G114/$C$5*(1+$C$8)+$E114*(1+$C$7)*$C$6)</f>
        <v/>
      </c>
      <c r="K114" s="28">
        <f>IF(H114="","",H114/$C$5*(1+$C$8)+$E114*(1+$C$7)*$C$6)</f>
        <v/>
      </c>
      <c r="L114" s="28">
        <f>IF(I114="","",I114/$C$5*(1+$C$8)+$E114*(1+$C$7)*$C$6)</f>
        <v/>
      </c>
      <c r="M114" s="29">
        <f>IF(J114="","",ROUND(J114*(1+$C$9),2))</f>
        <v/>
      </c>
      <c r="N114" s="29">
        <f>IF(K114="","",ROUND(K114*(1+$C$9),2))</f>
        <v/>
      </c>
      <c r="O114" s="29">
        <f>IF(L114="","",ROUND(L114*(1+$C$9),2))</f>
        <v/>
      </c>
      <c r="P114" s="30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  <c r="R114" s="31" t="n"/>
      <c r="S114" s="8" t="n"/>
      <c r="T114" s="29">
        <f>IF($R114="","",ROUND($R114*(1-N($S114)),2))</f>
        <v/>
      </c>
      <c r="U114" s="32">
        <f>IF(OR($T114="",$T114=0,$J114=""),"",($T114-$J114)/$T114)</f>
        <v/>
      </c>
      <c r="V114" s="32">
        <f>IF(OR($T114="",$T114=0,$K114=""),"",($T114-$K114)/$T114)</f>
        <v/>
      </c>
    </row>
    <row r="115">
      <c r="A115" s="20" t="inlineStr">
        <is>
          <t>AKRSHHL1-BL</t>
        </is>
      </c>
      <c r="B115" s="21">
        <f>IFERROR(INDEX(Conversion!$C$2:$C$500,MATCH($A115,Conversion!$B$2:$B$500,0)),"NOT ASSIGNED")</f>
        <v/>
      </c>
      <c r="C115" s="22" t="inlineStr">
        <is>
          <t>St. st. water saving spray head, black</t>
        </is>
      </c>
      <c r="D115" s="23" t="inlineStr">
        <is>
          <t>Twistflow Lite WD Nozzle, head only, 1/2" M, black, stainless steel 304</t>
        </is>
      </c>
      <c r="E115" s="33" t="n">
        <v>0.21</v>
      </c>
      <c r="F115" s="25" t="inlineStr">
        <is>
          <t>ESTIMATE - AKRSHL1-B 550 g less GRIPRL1-B 340 g (p.53/55)</t>
        </is>
      </c>
      <c r="G115" s="26" t="n">
        <v>31.954736</v>
      </c>
      <c r="H115" s="26" t="n">
        <v>27.960394</v>
      </c>
      <c r="I115" s="26" t="n">
        <v>25.963223</v>
      </c>
      <c r="J115" s="28">
        <f>IF(G115="","",G115/$C$5*(1+$C$8)+$E115*(1+$C$7)*$C$6)</f>
        <v/>
      </c>
      <c r="K115" s="28">
        <f>IF(H115="","",H115/$C$5*(1+$C$8)+$E115*(1+$C$7)*$C$6)</f>
        <v/>
      </c>
      <c r="L115" s="28">
        <f>IF(I115="","",I115/$C$5*(1+$C$8)+$E115*(1+$C$7)*$C$6)</f>
        <v/>
      </c>
      <c r="M115" s="29">
        <f>IF(J115="","",ROUND(J115*(1+$C$9),2))</f>
        <v/>
      </c>
      <c r="N115" s="29">
        <f>IF(K115="","",ROUND(K115*(1+$C$9),2))</f>
        <v/>
      </c>
      <c r="O115" s="29">
        <f>IF(L115="","",ROUND(L115*(1+$C$9),2))</f>
        <v/>
      </c>
      <c r="P115" s="30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  <c r="R115" s="31" t="n"/>
      <c r="S115" s="8" t="n"/>
      <c r="T115" s="29">
        <f>IF($R115="","",ROUND($R115*(1-N($S115)),2))</f>
        <v/>
      </c>
      <c r="U115" s="32">
        <f>IF(OR($T115="",$T115=0,$J115=""),"",($T115-$J115)/$T115)</f>
        <v/>
      </c>
      <c r="V115" s="32">
        <f>IF(OR($T115="",$T115=0,$K115=""),"",($T115-$K115)/$T115)</f>
        <v/>
      </c>
    </row>
    <row r="116">
      <c r="A116" s="20" t="inlineStr">
        <is>
          <t>AKRSHL1-B</t>
        </is>
      </c>
      <c r="B116" s="21">
        <f>IFERROR(INDEX(Conversion!$C$2:$C$500,MATCH($A116,Conversion!$B$2:$B$500,0)),"NOT ASSIGNED")</f>
        <v/>
      </c>
      <c r="C116" s="22" t="inlineStr">
        <is>
          <t>St. st. water saving spray head with handgrip, blue</t>
        </is>
      </c>
      <c r="D116" s="23" t="inlineStr">
        <is>
          <t>Twistflow Lite WD Nozzle, w/ handle, blue, stainless steel 304</t>
        </is>
      </c>
      <c r="E116" s="24" t="n">
        <v>0.55</v>
      </c>
      <c r="F116" s="25" t="inlineStr">
        <is>
          <t>Cat p.53</t>
        </is>
      </c>
      <c r="G116" s="26" t="n">
        <v>41.996944</v>
      </c>
      <c r="H116" s="26" t="n">
        <v>36.747326</v>
      </c>
      <c r="I116" s="26" t="n">
        <v>34.122517</v>
      </c>
      <c r="J116" s="28">
        <f>IF(G116="","",G116/$C$5*(1+$C$8)+$E116*(1+$C$7)*$C$6)</f>
        <v/>
      </c>
      <c r="K116" s="28">
        <f>IF(H116="","",H116/$C$5*(1+$C$8)+$E116*(1+$C$7)*$C$6)</f>
        <v/>
      </c>
      <c r="L116" s="28">
        <f>IF(I116="","",I116/$C$5*(1+$C$8)+$E116*(1+$C$7)*$C$6)</f>
        <v/>
      </c>
      <c r="M116" s="29">
        <f>IF(J116="","",ROUND(J116*(1+$C$9),2))</f>
        <v/>
      </c>
      <c r="N116" s="29">
        <f>IF(K116="","",ROUND(K116*(1+$C$9),2))</f>
        <v/>
      </c>
      <c r="O116" s="29">
        <f>IF(L116="","",ROUND(L116*(1+$C$9),2))</f>
        <v/>
      </c>
      <c r="P116" s="30">
        <f>TRIM(IF($B116="NOT ASSIGNED","No NW part no. ","")&amp;IFERROR(IF(INDEX(Conversion!$J$2:$J$500,MATCH($A116,Conversion!$B$2:$B$500,0))="Needs review","Conversion table: needs review. ",""),"")&amp;IF(LEFT($F116,8)="ESTIMATE","Weight estimated. ","")&amp;"")</f>
        <v/>
      </c>
      <c r="R116" s="31" t="n"/>
      <c r="S116" s="8" t="n"/>
      <c r="T116" s="29">
        <f>IF($R116="","",ROUND($R116*(1-N($S116)),2))</f>
        <v/>
      </c>
      <c r="U116" s="32">
        <f>IF(OR($T116="",$T116=0,$J116=""),"",($T116-$J116)/$T116)</f>
        <v/>
      </c>
      <c r="V116" s="32">
        <f>IF(OR($T116="",$T116=0,$K116=""),"",($T116-$K116)/$T116)</f>
        <v/>
      </c>
    </row>
    <row r="117">
      <c r="A117" s="20" t="inlineStr">
        <is>
          <t>AKRSHL1-W</t>
        </is>
      </c>
      <c r="B117" s="21">
        <f>IFERROR(INDEX(Conversion!$C$2:$C$500,MATCH($A117,Conversion!$B$2:$B$500,0)),"NOT ASSIGNED")</f>
        <v/>
      </c>
      <c r="C117" s="22" t="inlineStr">
        <is>
          <t>St. st. water saving spray head with handgrip, white</t>
        </is>
      </c>
      <c r="D117" s="23" t="inlineStr">
        <is>
          <t>Twistflow Lite WD Nozzle, w/ handle, white, stainless steel 304</t>
        </is>
      </c>
      <c r="E117" s="24" t="n">
        <v>0.55</v>
      </c>
      <c r="F117" s="25" t="inlineStr">
        <is>
          <t>Cat p.53 (as AKRSHL1-B)</t>
        </is>
      </c>
      <c r="G117" s="26" t="n">
        <v>41.996944</v>
      </c>
      <c r="H117" s="26" t="n">
        <v>36.747326</v>
      </c>
      <c r="I117" s="26" t="n">
        <v>34.122517</v>
      </c>
      <c r="J117" s="28">
        <f>IF(G117="","",G117/$C$5*(1+$C$8)+$E117*(1+$C$7)*$C$6)</f>
        <v/>
      </c>
      <c r="K117" s="28">
        <f>IF(H117="","",H117/$C$5*(1+$C$8)+$E117*(1+$C$7)*$C$6)</f>
        <v/>
      </c>
      <c r="L117" s="28">
        <f>IF(I117="","",I117/$C$5*(1+$C$8)+$E117*(1+$C$7)*$C$6)</f>
        <v/>
      </c>
      <c r="M117" s="29">
        <f>IF(J117="","",ROUND(J117*(1+$C$9),2))</f>
        <v/>
      </c>
      <c r="N117" s="29">
        <f>IF(K117="","",ROUND(K117*(1+$C$9),2))</f>
        <v/>
      </c>
      <c r="O117" s="29">
        <f>IF(L117="","",ROUND(L117*(1+$C$9),2))</f>
        <v/>
      </c>
      <c r="P117" s="30">
        <f>TRIM(IF($B117="NOT ASSIGNED","No NW part no. ","")&amp;IFERROR(IF(INDEX(Conversion!$J$2:$J$500,MATCH($A117,Conversion!$B$2:$B$500,0))="Needs review","Conversion table: needs review. ",""),"")&amp;IF(LEFT($F117,8)="ESTIMATE","Weight estimated. ","")&amp;"")</f>
        <v/>
      </c>
      <c r="R117" s="31" t="n"/>
      <c r="S117" s="8" t="n"/>
      <c r="T117" s="29">
        <f>IF($R117="","",ROUND($R117*(1-N($S117)),2))</f>
        <v/>
      </c>
      <c r="U117" s="32">
        <f>IF(OR($T117="",$T117=0,$J117=""),"",($T117-$J117)/$T117)</f>
        <v/>
      </c>
      <c r="V117" s="32">
        <f>IF(OR($T117="",$T117=0,$K117=""),"",($T117-$K117)/$T117)</f>
        <v/>
      </c>
    </row>
    <row r="118"/>
    <row r="119">
      <c r="A119" s="20" t="inlineStr">
        <is>
          <t>TWRWR02M</t>
        </is>
      </c>
      <c r="B119" s="21">
        <f>IFERROR(INDEX(Conversion!$C$2:$C$500,MATCH($A119,Conversion!$B$2:$B$500,0)),"NOT ASSIGNED")</f>
        <v/>
      </c>
      <c r="C119" s="22" t="inlineStr">
        <is>
          <t>St. st. industrial spray head Twister M, white with red protection, inlet 1/2" BSP male</t>
        </is>
      </c>
      <c r="D119" s="23" t="inlineStr">
        <is>
          <t>Twistflow M WD Nozzle, 1/2" BSPP M, 60° cone, white / red guard, stainless steel 304</t>
        </is>
      </c>
      <c r="E119" s="24" t="n">
        <v>0.345</v>
      </c>
      <c r="F119" s="25" t="inlineStr">
        <is>
          <t>Cat p.57</t>
        </is>
      </c>
      <c r="G119" s="26" t="n">
        <v>47.307568</v>
      </c>
      <c r="H119" s="26" t="n">
        <v>41.394122</v>
      </c>
      <c r="I119" s="26" t="n">
        <v>38.437399</v>
      </c>
      <c r="J119" s="28">
        <f>IF(G119="","",G119/$C$5*(1+$C$8)+$E119*(1+$C$7)*$C$6)</f>
        <v/>
      </c>
      <c r="K119" s="28">
        <f>IF(H119="","",H119/$C$5*(1+$C$8)+$E119*(1+$C$7)*$C$6)</f>
        <v/>
      </c>
      <c r="L119" s="28">
        <f>IF(I119="","",I119/$C$5*(1+$C$8)+$E119*(1+$C$7)*$C$6)</f>
        <v/>
      </c>
      <c r="M119" s="29">
        <f>IF(J119="","",ROUND(J119*(1+$C$9),2))</f>
        <v/>
      </c>
      <c r="N119" s="29">
        <f>IF(K119="","",ROUND(K119*(1+$C$9),2))</f>
        <v/>
      </c>
      <c r="O119" s="29">
        <f>IF(L119="","",ROUND(L119*(1+$C$9),2))</f>
        <v/>
      </c>
      <c r="P119" s="30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  <c r="R119" s="31" t="n"/>
      <c r="S119" s="8" t="n"/>
      <c r="T119" s="29">
        <f>IF($R119="","",ROUND($R119*(1-N($S119)),2))</f>
        <v/>
      </c>
      <c r="U119" s="32">
        <f>IF(OR($T119="",$T119=0,$J119=""),"",($T119-$J119)/$T119)</f>
        <v/>
      </c>
      <c r="V119" s="32">
        <f>IF(OR($T119="",$T119=0,$K119=""),"",($T119-$K119)/$T119)</f>
        <v/>
      </c>
    </row>
    <row r="120">
      <c r="A120" s="20" t="inlineStr">
        <is>
          <t>TWRWR02L</t>
        </is>
      </c>
      <c r="B120" s="21">
        <f>IFERROR(INDEX(Conversion!$C$2:$C$500,MATCH($A120,Conversion!$B$2:$B$500,0)),"NOT ASSIGNED")</f>
        <v/>
      </c>
      <c r="C120" s="22" t="inlineStr">
        <is>
          <t>St. st. industrial spray head Twister L, white with red protection, inlet 3/4" BSP male</t>
        </is>
      </c>
      <c r="D120" s="23" t="inlineStr">
        <is>
          <t>Twistflow L WD Nozzle, 3/4" BSPP M, 60° cone, white / red guard, stainless steel 304</t>
        </is>
      </c>
      <c r="E120" s="24" t="n">
        <v>0.48</v>
      </c>
      <c r="F120" s="25" t="inlineStr">
        <is>
          <t>Cat p.57</t>
        </is>
      </c>
      <c r="G120" s="26" t="n">
        <v>56.406768</v>
      </c>
      <c r="H120" s="26" t="n">
        <v>49.355922</v>
      </c>
      <c r="I120" s="26" t="n">
        <v>45.830499</v>
      </c>
      <c r="J120" s="28">
        <f>IF(G120="","",G120/$C$5*(1+$C$8)+$E120*(1+$C$7)*$C$6)</f>
        <v/>
      </c>
      <c r="K120" s="28">
        <f>IF(H120="","",H120/$C$5*(1+$C$8)+$E120*(1+$C$7)*$C$6)</f>
        <v/>
      </c>
      <c r="L120" s="28">
        <f>IF(I120="","",I120/$C$5*(1+$C$8)+$E120*(1+$C$7)*$C$6)</f>
        <v/>
      </c>
      <c r="M120" s="29">
        <f>IF(J120="","",ROUND(J120*(1+$C$9),2))</f>
        <v/>
      </c>
      <c r="N120" s="29">
        <f>IF(K120="","",ROUND(K120*(1+$C$9),2))</f>
        <v/>
      </c>
      <c r="O120" s="29">
        <f>IF(L120="","",ROUND(L120*(1+$C$9),2))</f>
        <v/>
      </c>
      <c r="P120" s="30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  <c r="R120" s="31" t="n"/>
      <c r="S120" s="8" t="n"/>
      <c r="T120" s="29">
        <f>IF($R120="","",ROUND($R120*(1-N($S120)),2))</f>
        <v/>
      </c>
      <c r="U120" s="32">
        <f>IF(OR($T120="",$T120=0,$J120=""),"",($T120-$J120)/$T120)</f>
        <v/>
      </c>
      <c r="V120" s="32">
        <f>IF(OR($T120="",$T120=0,$K120=""),"",($T120-$K120)/$T120)</f>
        <v/>
      </c>
    </row>
    <row r="121">
      <c r="A121" s="20" t="inlineStr">
        <is>
          <t>TWRWR02XL</t>
        </is>
      </c>
      <c r="B121" s="21">
        <f>IFERROR(INDEX(Conversion!$C$2:$C$500,MATCH($A121,Conversion!$B$2:$B$500,0)),"NOT ASSIGNED")</f>
        <v/>
      </c>
      <c r="C121" s="22" t="inlineStr">
        <is>
          <t>St. st. industrial spray head Twister XL, white with red protection, inlet 1" BSP male</t>
        </is>
      </c>
      <c r="D121" s="23" t="inlineStr">
        <is>
          <t>Twistflow XL WD Nozzle, 1" BSPP M, 60° cone, white / red guard, stainless steel 304</t>
        </is>
      </c>
      <c r="E121" s="24" t="n">
        <v>0.8</v>
      </c>
      <c r="F121" s="25" t="inlineStr">
        <is>
          <t>Cat p.57</t>
        </is>
      </c>
      <c r="G121" s="26" t="n">
        <v>60.046448</v>
      </c>
      <c r="H121" s="26" t="n">
        <v>52.540642</v>
      </c>
      <c r="I121" s="26" t="n">
        <v>48.787739</v>
      </c>
      <c r="J121" s="28">
        <f>IF(G121="","",G121/$C$5*(1+$C$8)+$E121*(1+$C$7)*$C$6)</f>
        <v/>
      </c>
      <c r="K121" s="28">
        <f>IF(H121="","",H121/$C$5*(1+$C$8)+$E121*(1+$C$7)*$C$6)</f>
        <v/>
      </c>
      <c r="L121" s="28">
        <f>IF(I121="","",I121/$C$5*(1+$C$8)+$E121*(1+$C$7)*$C$6)</f>
        <v/>
      </c>
      <c r="M121" s="29">
        <f>IF(J121="","",ROUND(J121*(1+$C$9),2))</f>
        <v/>
      </c>
      <c r="N121" s="29">
        <f>IF(K121="","",ROUND(K121*(1+$C$9),2))</f>
        <v/>
      </c>
      <c r="O121" s="29">
        <f>IF(L121="","",ROUND(L121*(1+$C$9),2))</f>
        <v/>
      </c>
      <c r="P121" s="30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  <c r="R121" s="31" t="n"/>
      <c r="S121" s="8" t="n"/>
      <c r="T121" s="29">
        <f>IF($R121="","",ROUND($R121*(1-N($S121)),2))</f>
        <v/>
      </c>
      <c r="U121" s="32">
        <f>IF(OR($T121="",$T121=0,$J121=""),"",($T121-$J121)/$T121)</f>
        <v/>
      </c>
      <c r="V121" s="32">
        <f>IF(OR($T121="",$T121=0,$K121=""),"",($T121-$K121)/$T121)</f>
        <v/>
      </c>
    </row>
    <row r="122"/>
    <row r="123">
      <c r="A123" s="20" t="inlineStr">
        <is>
          <t>AKAWLU1-B</t>
        </is>
      </c>
      <c r="B123" s="21">
        <f>IFERROR(INDEX(Conversion!$C$2:$C$500,MATCH($A123,Conversion!$B$2:$B$500,0)),"NOT ASSIGNED")</f>
        <v/>
      </c>
      <c r="C123" s="22" t="inlineStr">
        <is>
          <t>Air/water gun, blue</t>
        </is>
      </c>
      <c r="D123" s="23" t="inlineStr">
        <is>
          <t>Air-Boosted WD gun, 2x 10 mm hose tails (air &amp; water), blue, aluminium</t>
        </is>
      </c>
      <c r="E123" s="24" t="n">
        <v>0.8</v>
      </c>
      <c r="F123" s="25" t="inlineStr">
        <is>
          <t>Cat p.27</t>
        </is>
      </c>
      <c r="G123" s="26" t="n">
        <v>76.34999999999999</v>
      </c>
      <c r="H123" s="27" t="n"/>
      <c r="I123" s="26" t="n">
        <v>66.81</v>
      </c>
      <c r="J123" s="28">
        <f>IF(G123="","",G123/$C$5*(1+$C$8)+$E123*(1+$C$7)*$C$6)</f>
        <v/>
      </c>
      <c r="K123" s="28">
        <f>IF(H123="","",H123/$C$5*(1+$C$8)+$E123*(1+$C$7)*$C$6)</f>
        <v/>
      </c>
      <c r="L123" s="28">
        <f>IF(I123="","",I123/$C$5*(1+$C$8)+$E123*(1+$C$7)*$C$6)</f>
        <v/>
      </c>
      <c r="M123" s="29">
        <f>IF(J123="","",ROUND(J123*(1+$C$9),2))</f>
        <v/>
      </c>
      <c r="N123" s="29">
        <f>IF(K123="","",ROUND(K123*(1+$C$9),2))</f>
        <v/>
      </c>
      <c r="O123" s="29">
        <f>IF(L123="","",ROUND(L123*(1+$C$9),2))</f>
        <v/>
      </c>
      <c r="P123" s="30">
        <f>TRIM(IF($B123="NOT ASSIGNED","No NW part no. ","")&amp;IFERROR(IF(INDEX(Conversion!$J$2:$J$500,MATCH($A123,Conversion!$B$2:$B$500,0))="Needs review","Conversion table: needs review. ",""),"")&amp;IF(LEFT($F123,8)="ESTIMATE","Weight estimated. ","")&amp;"AKBO note at break 3: '20pcs 66,81' - price keyed in.")</f>
        <v/>
      </c>
      <c r="R123" s="31" t="n"/>
      <c r="S123" s="8" t="n"/>
      <c r="T123" s="29">
        <f>IF($R123="","",ROUND($R123*(1-N($S123)),2))</f>
        <v/>
      </c>
      <c r="U123" s="32">
        <f>IF(OR($T123="",$T123=0,$J123=""),"",($T123-$J123)/$T123)</f>
        <v/>
      </c>
      <c r="V123" s="32">
        <f>IF(OR($T123="",$T123=0,$K123=""),"",($T123-$K123)/$T123)</f>
        <v/>
      </c>
    </row>
    <row r="124"/>
    <row r="125">
      <c r="A125" s="16" t="inlineStr">
        <is>
          <t>Water Saver</t>
        </is>
      </c>
      <c r="B125" s="17" t="n"/>
      <c r="C125" s="17" t="n"/>
      <c r="D125" s="17" t="n"/>
      <c r="E125" s="17" t="n"/>
      <c r="F125" s="17" t="n"/>
      <c r="G125" s="18" t="inlineStr">
        <is>
          <t>&lt; 10 pcs</t>
        </is>
      </c>
      <c r="H125" s="18" t="inlineStr">
        <is>
          <t>≥ 10 pcs</t>
        </is>
      </c>
      <c r="I125" s="18" t="inlineStr">
        <is>
          <t>≥ 50 pcs</t>
        </is>
      </c>
      <c r="J125" s="18" t="inlineStr">
        <is>
          <t>&lt; 10 pcs</t>
        </is>
      </c>
      <c r="K125" s="18" t="inlineStr">
        <is>
          <t>≥ 10 pcs</t>
        </is>
      </c>
      <c r="L125" s="18" t="inlineStr">
        <is>
          <t>≥ 50 pcs</t>
        </is>
      </c>
      <c r="M125" s="18" t="inlineStr">
        <is>
          <t>&lt; 10 pcs</t>
        </is>
      </c>
      <c r="N125" s="18" t="inlineStr">
        <is>
          <t>≥ 10 pcs</t>
        </is>
      </c>
      <c r="O125" s="18" t="inlineStr">
        <is>
          <t>≥ 50 pcs</t>
        </is>
      </c>
      <c r="P125" s="17" t="n"/>
      <c r="R125" s="17" t="n"/>
      <c r="S125" s="17" t="n"/>
      <c r="T125" s="17" t="n"/>
      <c r="U125" s="19" t="inlineStr">
        <is>
          <t>&lt; 10 pcs</t>
        </is>
      </c>
      <c r="V125" s="19" t="inlineStr">
        <is>
          <t>≥ 10 pcs</t>
        </is>
      </c>
    </row>
    <row r="126">
      <c r="A126" s="20" t="inlineStr">
        <is>
          <t>AKWMS01</t>
        </is>
      </c>
      <c r="B126" s="21">
        <f>IFERROR(INDEX(Conversion!$C$2:$C$500,MATCH($A126,Conversion!$B$2:$B$500,0)),"NOT ASSIGNED")</f>
        <v/>
      </c>
      <c r="C126" s="22" t="inlineStr">
        <is>
          <t>Water saver brass; model S; 3/4" female</t>
        </is>
      </c>
      <c r="D126" s="23" t="inlineStr">
        <is>
          <t>Water Saver nozzle, model S, flat spray, 3/4" F, brass</t>
        </is>
      </c>
      <c r="E126" s="33" t="n">
        <v>0.3</v>
      </c>
      <c r="F126" s="25" t="inlineStr">
        <is>
          <t>ESTIMATE - weight not in catalogue (p.45)</t>
        </is>
      </c>
      <c r="G126" s="26" t="n">
        <v>34.803</v>
      </c>
      <c r="H126" s="26" t="n">
        <v>30.94</v>
      </c>
      <c r="I126" s="27" t="n"/>
      <c r="J126" s="28">
        <f>IF(G126="","",G126/$C$5*(1+$C$8)+$E126*(1+$C$7)*$C$6)</f>
        <v/>
      </c>
      <c r="K126" s="28">
        <f>IF(H126="","",H126/$C$5*(1+$C$8)+$E126*(1+$C$7)*$C$6)</f>
        <v/>
      </c>
      <c r="L126" s="28">
        <f>IF(I126="","",I126/$C$5*(1+$C$8)+$E126*(1+$C$7)*$C$6)</f>
        <v/>
      </c>
      <c r="M126" s="29">
        <f>IF(J126="","",ROUND(J126*(1+$C$9),2))</f>
        <v/>
      </c>
      <c r="N126" s="29">
        <f>IF(K126="","",ROUND(K126*(1+$C$9),2))</f>
        <v/>
      </c>
      <c r="O126" s="29">
        <f>IF(L126="","",ROUND(L126*(1+$C$9),2))</f>
        <v/>
      </c>
      <c r="P126" s="30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  <c r="R126" s="31" t="n"/>
      <c r="S126" s="8" t="n"/>
      <c r="T126" s="29">
        <f>IF($R126="","",ROUND($R126*(1-N($S126)),2))</f>
        <v/>
      </c>
      <c r="U126" s="32">
        <f>IF(OR($T126="",$T126=0,$J126=""),"",($T126-$J126)/$T126)</f>
        <v/>
      </c>
      <c r="V126" s="32">
        <f>IF(OR($T126="",$T126=0,$K126=""),"",($T126-$K126)/$T126)</f>
        <v/>
      </c>
    </row>
    <row r="127">
      <c r="A127" s="20" t="inlineStr">
        <is>
          <t>AKWMM01</t>
        </is>
      </c>
      <c r="B127" s="21">
        <f>IFERROR(INDEX(Conversion!$C$2:$C$500,MATCH($A127,Conversion!$B$2:$B$500,0)),"NOT ASSIGNED")</f>
        <v/>
      </c>
      <c r="C127" s="22" t="inlineStr">
        <is>
          <t>Water saver brass; model M; 3/4" female</t>
        </is>
      </c>
      <c r="D127" s="23" t="inlineStr">
        <is>
          <t>Water Saver nozzle, model M, 13 mm orifice, 3/4" F, brass</t>
        </is>
      </c>
      <c r="E127" s="33" t="n">
        <v>0.3</v>
      </c>
      <c r="F127" s="25" t="inlineStr">
        <is>
          <t>ESTIMATE - weight not in catalogue (p.45)</t>
        </is>
      </c>
      <c r="G127" s="26" t="n">
        <v>34.803</v>
      </c>
      <c r="H127" s="26" t="n">
        <v>30.94</v>
      </c>
      <c r="I127" s="27" t="n"/>
      <c r="J127" s="28">
        <f>IF(G127="","",G127/$C$5*(1+$C$8)+$E127*(1+$C$7)*$C$6)</f>
        <v/>
      </c>
      <c r="K127" s="28">
        <f>IF(H127="","",H127/$C$5*(1+$C$8)+$E127*(1+$C$7)*$C$6)</f>
        <v/>
      </c>
      <c r="L127" s="28">
        <f>IF(I127="","",I127/$C$5*(1+$C$8)+$E127*(1+$C$7)*$C$6)</f>
        <v/>
      </c>
      <c r="M127" s="29">
        <f>IF(J127="","",ROUND(J127*(1+$C$9),2))</f>
        <v/>
      </c>
      <c r="N127" s="29">
        <f>IF(K127="","",ROUND(K127*(1+$C$9),2))</f>
        <v/>
      </c>
      <c r="O127" s="29">
        <f>IF(L127="","",ROUND(L127*(1+$C$9),2))</f>
        <v/>
      </c>
      <c r="P127" s="30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  <c r="R127" s="31" t="n"/>
      <c r="S127" s="8" t="n"/>
      <c r="T127" s="29">
        <f>IF($R127="","",ROUND($R127*(1-N($S127)),2))</f>
        <v/>
      </c>
      <c r="U127" s="32">
        <f>IF(OR($T127="",$T127=0,$J127=""),"",($T127-$J127)/$T127)</f>
        <v/>
      </c>
      <c r="V127" s="32">
        <f>IF(OR($T127="",$T127=0,$K127=""),"",($T127-$K127)/$T127)</f>
        <v/>
      </c>
    </row>
    <row r="128">
      <c r="A128" s="20" t="inlineStr">
        <is>
          <t>AKWML01</t>
        </is>
      </c>
      <c r="B128" s="21">
        <f>IFERROR(INDEX(Conversion!$C$2:$C$500,MATCH($A128,Conversion!$B$2:$B$500,0)),"NOT ASSIGNED")</f>
        <v/>
      </c>
      <c r="C128" s="22" t="inlineStr">
        <is>
          <t>Water saver brass; model L; 3/4" female</t>
        </is>
      </c>
      <c r="D128" s="23" t="inlineStr">
        <is>
          <t>Water Saver nozzle, model L, 9 mm orifice, 3/4" F, brass</t>
        </is>
      </c>
      <c r="E128" s="33" t="n">
        <v>0.3</v>
      </c>
      <c r="F128" s="25" t="inlineStr">
        <is>
          <t>ESTIMATE - weight not in catalogue (p.45)</t>
        </is>
      </c>
      <c r="G128" s="26" t="n">
        <v>34.803</v>
      </c>
      <c r="H128" s="26" t="n">
        <v>30.94</v>
      </c>
      <c r="I128" s="27" t="n"/>
      <c r="J128" s="28">
        <f>IF(G128="","",G128/$C$5*(1+$C$8)+$E128*(1+$C$7)*$C$6)</f>
        <v/>
      </c>
      <c r="K128" s="28">
        <f>IF(H128="","",H128/$C$5*(1+$C$8)+$E128*(1+$C$7)*$C$6)</f>
        <v/>
      </c>
      <c r="L128" s="28">
        <f>IF(I128="","",I128/$C$5*(1+$C$8)+$E128*(1+$C$7)*$C$6)</f>
        <v/>
      </c>
      <c r="M128" s="29">
        <f>IF(J128="","",ROUND(J128*(1+$C$9),2))</f>
        <v/>
      </c>
      <c r="N128" s="29">
        <f>IF(K128="","",ROUND(K128*(1+$C$9),2))</f>
        <v/>
      </c>
      <c r="O128" s="29">
        <f>IF(L128="","",ROUND(L128*(1+$C$9),2))</f>
        <v/>
      </c>
      <c r="P128" s="30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  <c r="R128" s="31" t="n"/>
      <c r="S128" s="8" t="n"/>
      <c r="T128" s="29">
        <f>IF($R128="","",ROUND($R128*(1-N($S128)),2))</f>
        <v/>
      </c>
      <c r="U128" s="32">
        <f>IF(OR($T128="",$T128=0,$J128=""),"",($T128-$J128)/$T128)</f>
        <v/>
      </c>
      <c r="V128" s="32">
        <f>IF(OR($T128="",$T128=0,$K128=""),"",($T128-$K128)/$T128)</f>
        <v/>
      </c>
    </row>
    <row r="129">
      <c r="A129" s="20" t="inlineStr">
        <is>
          <t>AKWMR01</t>
        </is>
      </c>
      <c r="B129" s="21">
        <f>IFERROR(INDEX(Conversion!$C$2:$C$500,MATCH($A129,Conversion!$B$2:$B$500,0)),"NOT ASSIGNED")</f>
        <v/>
      </c>
      <c r="C129" s="22" t="inlineStr">
        <is>
          <t>Water saver brass; model R; 3/4" female</t>
        </is>
      </c>
      <c r="D129" s="23" t="inlineStr">
        <is>
          <t>Water Saver nozzle, model R, 4.5 mm orifice, 3/4" F, brass</t>
        </is>
      </c>
      <c r="E129" s="33" t="n">
        <v>0.3</v>
      </c>
      <c r="F129" s="25" t="inlineStr">
        <is>
          <t>ESTIMATE - weight not in catalogue (p.45)</t>
        </is>
      </c>
      <c r="G129" s="26" t="n">
        <v>34.803</v>
      </c>
      <c r="H129" s="26" t="n">
        <v>30.94</v>
      </c>
      <c r="I129" s="27" t="n"/>
      <c r="J129" s="28">
        <f>IF(G129="","",G129/$C$5*(1+$C$8)+$E129*(1+$C$7)*$C$6)</f>
        <v/>
      </c>
      <c r="K129" s="28">
        <f>IF(H129="","",H129/$C$5*(1+$C$8)+$E129*(1+$C$7)*$C$6)</f>
        <v/>
      </c>
      <c r="L129" s="28">
        <f>IF(I129="","",I129/$C$5*(1+$C$8)+$E129*(1+$C$7)*$C$6)</f>
        <v/>
      </c>
      <c r="M129" s="29">
        <f>IF(J129="","",ROUND(J129*(1+$C$9),2))</f>
        <v/>
      </c>
      <c r="N129" s="29">
        <f>IF(K129="","",ROUND(K129*(1+$C$9),2))</f>
        <v/>
      </c>
      <c r="O129" s="29">
        <f>IF(L129="","",ROUND(L129*(1+$C$9),2))</f>
        <v/>
      </c>
      <c r="P129" s="30">
        <f>TRIM(IF($B129="NOT ASSIGNED","No NW part no. ","")&amp;IFERROR(IF(INDEX(Conversion!$J$2:$J$500,MATCH($A129,Conversion!$B$2:$B$500,0))="Needs review","Conversion table: needs review. ",""),"")&amp;IF(LEFT($F129,8)="ESTIMATE","Weight estimated. ","")&amp;"")</f>
        <v/>
      </c>
      <c r="R129" s="31" t="n"/>
      <c r="S129" s="8" t="n"/>
      <c r="T129" s="29">
        <f>IF($R129="","",ROUND($R129*(1-N($S129)),2))</f>
        <v/>
      </c>
      <c r="U129" s="32">
        <f>IF(OR($T129="",$T129=0,$J129=""),"",($T129-$J129)/$T129)</f>
        <v/>
      </c>
      <c r="V129" s="32">
        <f>IF(OR($T129="",$T129=0,$K129=""),"",($T129-$K129)/$T129)</f>
        <v/>
      </c>
    </row>
    <row r="130"/>
    <row r="131">
      <c r="A131" s="20" t="inlineStr">
        <is>
          <t>AKWRS01</t>
        </is>
      </c>
      <c r="B131" s="21">
        <f>IFERROR(INDEX(Conversion!$C$2:$C$500,MATCH($A131,Conversion!$B$2:$B$500,0)),"NOT ASSIGNED")</f>
        <v/>
      </c>
      <c r="C131" s="22" t="inlineStr">
        <is>
          <t>Water saver stainless steel; model S; 3/4" female</t>
        </is>
      </c>
      <c r="D131" s="23" t="inlineStr">
        <is>
          <t>Water Saver nozzle, model S, flat spray, 3/4" F, stainless steel 304</t>
        </is>
      </c>
      <c r="E131" s="33" t="n">
        <v>0.3</v>
      </c>
      <c r="F131" s="25" t="inlineStr">
        <is>
          <t>ESTIMATE - weight not in catalogue (p.45)</t>
        </is>
      </c>
      <c r="G131" s="26" t="n">
        <v>88.84128</v>
      </c>
      <c r="H131" s="26" t="n">
        <v>83.28870000000001</v>
      </c>
      <c r="I131" s="27" t="n"/>
      <c r="J131" s="28">
        <f>IF(G131="","",G131/$C$5*(1+$C$8)+$E131*(1+$C$7)*$C$6)</f>
        <v/>
      </c>
      <c r="K131" s="28">
        <f>IF(H131="","",H131/$C$5*(1+$C$8)+$E131*(1+$C$7)*$C$6)</f>
        <v/>
      </c>
      <c r="L131" s="28">
        <f>IF(I131="","",I131/$C$5*(1+$C$8)+$E131*(1+$C$7)*$C$6)</f>
        <v/>
      </c>
      <c r="M131" s="29">
        <f>IF(J131="","",ROUND(J131*(1+$C$9),2))</f>
        <v/>
      </c>
      <c r="N131" s="29">
        <f>IF(K131="","",ROUND(K131*(1+$C$9),2))</f>
        <v/>
      </c>
      <c r="O131" s="29">
        <f>IF(L131="","",ROUND(L131*(1+$C$9),2))</f>
        <v/>
      </c>
      <c r="P131" s="30">
        <f>TRIM(IF($B131="NOT ASSIGNED","No NW part no. ","")&amp;IFERROR(IF(INDEX(Conversion!$J$2:$J$500,MATCH($A131,Conversion!$B$2:$B$500,0))="Needs review","Conversion table: needs review. ",""),"")&amp;IF(LEFT($F131,8)="ESTIMATE","Weight estimated. ","")&amp;"")</f>
        <v/>
      </c>
      <c r="R131" s="31" t="n"/>
      <c r="S131" s="8" t="n"/>
      <c r="T131" s="29">
        <f>IF($R131="","",ROUND($R131*(1-N($S131)),2))</f>
        <v/>
      </c>
      <c r="U131" s="32">
        <f>IF(OR($T131="",$T131=0,$J131=""),"",($T131-$J131)/$T131)</f>
        <v/>
      </c>
      <c r="V131" s="32">
        <f>IF(OR($T131="",$T131=0,$K131=""),"",($T131-$K131)/$T131)</f>
        <v/>
      </c>
    </row>
    <row r="132">
      <c r="A132" s="20" t="inlineStr">
        <is>
          <t>AKWRM01</t>
        </is>
      </c>
      <c r="B132" s="21">
        <f>IFERROR(INDEX(Conversion!$C$2:$C$500,MATCH($A132,Conversion!$B$2:$B$500,0)),"NOT ASSIGNED")</f>
        <v/>
      </c>
      <c r="C132" s="22" t="inlineStr">
        <is>
          <t>Water saver stainless steel; model M; 3/4" female</t>
        </is>
      </c>
      <c r="D132" s="23" t="inlineStr">
        <is>
          <t>Water Saver nozzle, model M, 13 mm orifice, 3/4" F, stainless steel 304</t>
        </is>
      </c>
      <c r="E132" s="33" t="n">
        <v>0.3</v>
      </c>
      <c r="F132" s="25" t="inlineStr">
        <is>
          <t>ESTIMATE - weight not in catalogue (p.45)</t>
        </is>
      </c>
      <c r="G132" s="26" t="n">
        <v>88.84128</v>
      </c>
      <c r="H132" s="26" t="n">
        <v>83.28870000000001</v>
      </c>
      <c r="I132" s="27" t="n"/>
      <c r="J132" s="28">
        <f>IF(G132="","",G132/$C$5*(1+$C$8)+$E132*(1+$C$7)*$C$6)</f>
        <v/>
      </c>
      <c r="K132" s="28">
        <f>IF(H132="","",H132/$C$5*(1+$C$8)+$E132*(1+$C$7)*$C$6)</f>
        <v/>
      </c>
      <c r="L132" s="28">
        <f>IF(I132="","",I132/$C$5*(1+$C$8)+$E132*(1+$C$7)*$C$6)</f>
        <v/>
      </c>
      <c r="M132" s="29">
        <f>IF(J132="","",ROUND(J132*(1+$C$9),2))</f>
        <v/>
      </c>
      <c r="N132" s="29">
        <f>IF(K132="","",ROUND(K132*(1+$C$9),2))</f>
        <v/>
      </c>
      <c r="O132" s="29">
        <f>IF(L132="","",ROUND(L132*(1+$C$9),2))</f>
        <v/>
      </c>
      <c r="P132" s="30">
        <f>TRIM(IF($B132="NOT ASSIGNED","No NW part no. ","")&amp;IFERROR(IF(INDEX(Conversion!$J$2:$J$500,MATCH($A132,Conversion!$B$2:$B$500,0))="Needs review","Conversion table: needs review. ",""),"")&amp;IF(LEFT($F132,8)="ESTIMATE","Weight estimated. ","")&amp;"")</f>
        <v/>
      </c>
      <c r="R132" s="31" t="n"/>
      <c r="S132" s="8" t="n"/>
      <c r="T132" s="29">
        <f>IF($R132="","",ROUND($R132*(1-N($S132)),2))</f>
        <v/>
      </c>
      <c r="U132" s="32">
        <f>IF(OR($T132="",$T132=0,$J132=""),"",($T132-$J132)/$T132)</f>
        <v/>
      </c>
      <c r="V132" s="32">
        <f>IF(OR($T132="",$T132=0,$K132=""),"",($T132-$K132)/$T132)</f>
        <v/>
      </c>
    </row>
    <row r="133">
      <c r="A133" s="20" t="inlineStr">
        <is>
          <t>AKWRL01</t>
        </is>
      </c>
      <c r="B133" s="21">
        <f>IFERROR(INDEX(Conversion!$C$2:$C$500,MATCH($A133,Conversion!$B$2:$B$500,0)),"NOT ASSIGNED")</f>
        <v/>
      </c>
      <c r="C133" s="22" t="inlineStr">
        <is>
          <t>Water saver stainless steel; model L; 3/4" female</t>
        </is>
      </c>
      <c r="D133" s="23" t="inlineStr">
        <is>
          <t>Water Saver nozzle, model L, 9 mm orifice, 3/4" F, stainless steel 304</t>
        </is>
      </c>
      <c r="E133" s="33" t="n">
        <v>0.3</v>
      </c>
      <c r="F133" s="25" t="inlineStr">
        <is>
          <t>ESTIMATE - weight not in catalogue (p.45)</t>
        </is>
      </c>
      <c r="G133" s="26" t="n">
        <v>88.84128</v>
      </c>
      <c r="H133" s="26" t="n">
        <v>83.28870000000001</v>
      </c>
      <c r="I133" s="27" t="n"/>
      <c r="J133" s="28">
        <f>IF(G133="","",G133/$C$5*(1+$C$8)+$E133*(1+$C$7)*$C$6)</f>
        <v/>
      </c>
      <c r="K133" s="28">
        <f>IF(H133="","",H133/$C$5*(1+$C$8)+$E133*(1+$C$7)*$C$6)</f>
        <v/>
      </c>
      <c r="L133" s="28">
        <f>IF(I133="","",I133/$C$5*(1+$C$8)+$E133*(1+$C$7)*$C$6)</f>
        <v/>
      </c>
      <c r="M133" s="29">
        <f>IF(J133="","",ROUND(J133*(1+$C$9),2))</f>
        <v/>
      </c>
      <c r="N133" s="29">
        <f>IF(K133="","",ROUND(K133*(1+$C$9),2))</f>
        <v/>
      </c>
      <c r="O133" s="29">
        <f>IF(L133="","",ROUND(L133*(1+$C$9),2))</f>
        <v/>
      </c>
      <c r="P133" s="30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  <c r="R133" s="31" t="n"/>
      <c r="S133" s="8" t="n"/>
      <c r="T133" s="29">
        <f>IF($R133="","",ROUND($R133*(1-N($S133)),2))</f>
        <v/>
      </c>
      <c r="U133" s="32">
        <f>IF(OR($T133="",$T133=0,$J133=""),"",($T133-$J133)/$T133)</f>
        <v/>
      </c>
      <c r="V133" s="32">
        <f>IF(OR($T133="",$T133=0,$K133=""),"",($T133-$K133)/$T133)</f>
        <v/>
      </c>
    </row>
    <row r="134">
      <c r="A134" s="20" t="inlineStr">
        <is>
          <t>AKWRR01</t>
        </is>
      </c>
      <c r="B134" s="21">
        <f>IFERROR(INDEX(Conversion!$C$2:$C$500,MATCH($A134,Conversion!$B$2:$B$500,0)),"NOT ASSIGNED")</f>
        <v/>
      </c>
      <c r="C134" s="22" t="inlineStr">
        <is>
          <t>Water saver stainless steel; model R; 3/4" female</t>
        </is>
      </c>
      <c r="D134" s="23" t="inlineStr">
        <is>
          <t>Water Saver nozzle, model R, 4.5 mm orifice, 3/4" F, stainless steel 304</t>
        </is>
      </c>
      <c r="E134" s="33" t="n">
        <v>0.3</v>
      </c>
      <c r="F134" s="25" t="inlineStr">
        <is>
          <t>ESTIMATE - weight not in catalogue (p.45)</t>
        </is>
      </c>
      <c r="G134" s="26" t="n">
        <v>88.84128</v>
      </c>
      <c r="H134" s="26" t="n">
        <v>83.28870000000001</v>
      </c>
      <c r="I134" s="27" t="n"/>
      <c r="J134" s="28">
        <f>IF(G134="","",G134/$C$5*(1+$C$8)+$E134*(1+$C$7)*$C$6)</f>
        <v/>
      </c>
      <c r="K134" s="28">
        <f>IF(H134="","",H134/$C$5*(1+$C$8)+$E134*(1+$C$7)*$C$6)</f>
        <v/>
      </c>
      <c r="L134" s="28">
        <f>IF(I134="","",I134/$C$5*(1+$C$8)+$E134*(1+$C$7)*$C$6)</f>
        <v/>
      </c>
      <c r="M134" s="29">
        <f>IF(J134="","",ROUND(J134*(1+$C$9),2))</f>
        <v/>
      </c>
      <c r="N134" s="29">
        <f>IF(K134="","",ROUND(K134*(1+$C$9),2))</f>
        <v/>
      </c>
      <c r="O134" s="29">
        <f>IF(L134="","",ROUND(L134*(1+$C$9),2))</f>
        <v/>
      </c>
      <c r="P134" s="30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  <c r="R134" s="31" t="n"/>
      <c r="S134" s="8" t="n"/>
      <c r="T134" s="29">
        <f>IF($R134="","",ROUND($R134*(1-N($S134)),2))</f>
        <v/>
      </c>
      <c r="U134" s="32">
        <f>IF(OR($T134="",$T134=0,$J134=""),"",($T134-$J134)/$T134)</f>
        <v/>
      </c>
      <c r="V134" s="32">
        <f>IF(OR($T134="",$T134=0,$K134=""),"",($T134-$K134)/$T134)</f>
        <v/>
      </c>
    </row>
    <row r="135"/>
    <row r="136">
      <c r="A136" s="20" t="inlineStr">
        <is>
          <t>BWNM045</t>
        </is>
      </c>
      <c r="B136" s="21">
        <f>IFERROR(INDEX(Conversion!$C$2:$C$500,MATCH($A136,Conversion!$B$2:$B$500,0)),"NOT ASSIGNED")</f>
        <v/>
      </c>
      <c r="C136" s="22" t="inlineStr">
        <is>
          <t>Economic Sprayer "Blue Nozzle" brass with EPDM, 4.5mm outlet</t>
        </is>
      </c>
      <c r="D136" s="23" t="inlineStr">
        <is>
          <t>Blue Nozzle sprayer, 4.5 mm outlet, 3/4" F, blue, brass</t>
        </is>
      </c>
      <c r="E136" s="33" t="n">
        <v>0.25</v>
      </c>
      <c r="F136" s="25" t="inlineStr">
        <is>
          <t>ESTIMATE - weight not in catalogue (p.46)</t>
        </is>
      </c>
      <c r="G136" s="26" t="n">
        <v>23.293952</v>
      </c>
      <c r="H136" s="26" t="n">
        <v>21.83808</v>
      </c>
      <c r="I136" s="26" t="n">
        <v>19.799859</v>
      </c>
      <c r="J136" s="28">
        <f>IF(G136="","",G136/$C$5*(1+$C$8)+$E136*(1+$C$7)*$C$6)</f>
        <v/>
      </c>
      <c r="K136" s="28">
        <f>IF(H136="","",H136/$C$5*(1+$C$8)+$E136*(1+$C$7)*$C$6)</f>
        <v/>
      </c>
      <c r="L136" s="28">
        <f>IF(I136="","",I136/$C$5*(1+$C$8)+$E136*(1+$C$7)*$C$6)</f>
        <v/>
      </c>
      <c r="M136" s="29">
        <f>IF(J136="","",ROUND(J136*(1+$C$9),2))</f>
        <v/>
      </c>
      <c r="N136" s="29">
        <f>IF(K136="","",ROUND(K136*(1+$C$9),2))</f>
        <v/>
      </c>
      <c r="O136" s="29">
        <f>IF(L136="","",ROUND(L136*(1+$C$9),2))</f>
        <v/>
      </c>
      <c r="P136" s="30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  <c r="R136" s="31" t="n"/>
      <c r="S136" s="8" t="n"/>
      <c r="T136" s="29">
        <f>IF($R136="","",ROUND($R136*(1-N($S136)),2))</f>
        <v/>
      </c>
      <c r="U136" s="32">
        <f>IF(OR($T136="",$T136=0,$J136=""),"",($T136-$J136)/$T136)</f>
        <v/>
      </c>
      <c r="V136" s="32">
        <f>IF(OR($T136="",$T136=0,$K136=""),"",($T136-$K136)/$T136)</f>
        <v/>
      </c>
    </row>
    <row r="137"/>
    <row r="138">
      <c r="A138" s="16" t="inlineStr">
        <is>
          <t>Qty break</t>
        </is>
      </c>
      <c r="B138" s="17" t="n"/>
      <c r="C138" s="17" t="n"/>
      <c r="D138" s="17" t="n"/>
      <c r="E138" s="17" t="n"/>
      <c r="F138" s="17" t="n"/>
      <c r="G138" s="18" t="inlineStr">
        <is>
          <t>&lt; 10 pcs</t>
        </is>
      </c>
      <c r="H138" s="18" t="inlineStr">
        <is>
          <t>≥ 10 pcs</t>
        </is>
      </c>
      <c r="I138" s="18" t="inlineStr">
        <is>
          <t>≥ 50 pcs</t>
        </is>
      </c>
      <c r="J138" s="18" t="inlineStr">
        <is>
          <t>&lt; 10 pcs</t>
        </is>
      </c>
      <c r="K138" s="18" t="inlineStr">
        <is>
          <t>≥ 10 pcs</t>
        </is>
      </c>
      <c r="L138" s="18" t="inlineStr">
        <is>
          <t>≥ 50 pcs</t>
        </is>
      </c>
      <c r="M138" s="18" t="inlineStr">
        <is>
          <t>&lt; 10 pcs</t>
        </is>
      </c>
      <c r="N138" s="18" t="inlineStr">
        <is>
          <t>≥ 10 pcs</t>
        </is>
      </c>
      <c r="O138" s="18" t="inlineStr">
        <is>
          <t>≥ 50 pcs</t>
        </is>
      </c>
      <c r="P138" s="17" t="n"/>
      <c r="R138" s="17" t="n"/>
      <c r="S138" s="17" t="n"/>
      <c r="T138" s="17" t="n"/>
      <c r="U138" s="19" t="inlineStr">
        <is>
          <t>&lt; 10 pcs</t>
        </is>
      </c>
      <c r="V138" s="19" t="inlineStr">
        <is>
          <t>≥ 10 pcs</t>
        </is>
      </c>
    </row>
    <row r="139">
      <c r="A139" s="34" t="inlineStr">
        <is>
          <t>Shower Head</t>
        </is>
      </c>
      <c r="B139" s="35" t="n"/>
      <c r="C139" s="35" t="n"/>
      <c r="D139" s="35" t="n"/>
      <c r="E139" s="35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R139" s="35" t="n"/>
      <c r="S139" s="35" t="n"/>
      <c r="T139" s="35" t="n"/>
      <c r="U139" s="35" t="n"/>
      <c r="V139" s="35" t="n"/>
    </row>
    <row r="140"/>
    <row r="141">
      <c r="A141" s="20" t="inlineStr">
        <is>
          <t>AKKS003-B</t>
        </is>
      </c>
      <c r="B141" s="21">
        <f>IFERROR(INDEX(Conversion!$C$2:$C$500,MATCH($A141,Conversion!$B$2:$B$500,0)),"NOT ASSIGNED")</f>
        <v/>
      </c>
      <c r="C141" s="22" t="inlineStr">
        <is>
          <t>Plastic shower head, blue</t>
        </is>
      </c>
      <c r="D141" s="23" t="inlineStr">
        <is>
          <t>Shower Wash Head, 1/2" F, blue, PA66 plastic</t>
        </is>
      </c>
      <c r="E141" s="24" t="n">
        <v>0.26</v>
      </c>
      <c r="F141" s="25" t="inlineStr">
        <is>
          <t>Cat p.26</t>
        </is>
      </c>
      <c r="G141" s="26" t="n">
        <v>42.096208</v>
      </c>
      <c r="H141" s="26" t="n">
        <v>36.834182</v>
      </c>
      <c r="I141" s="26" t="n">
        <v>34.203169</v>
      </c>
      <c r="J141" s="28">
        <f>IF(G141="","",G141/$C$5*(1+$C$8)+$E141*(1+$C$7)*$C$6)</f>
        <v/>
      </c>
      <c r="K141" s="28">
        <f>IF(H141="","",H141/$C$5*(1+$C$8)+$E141*(1+$C$7)*$C$6)</f>
        <v/>
      </c>
      <c r="L141" s="28">
        <f>IF(I141="","",I141/$C$5*(1+$C$8)+$E141*(1+$C$7)*$C$6)</f>
        <v/>
      </c>
      <c r="M141" s="29">
        <f>IF(J141="","",ROUND(J141*(1+$C$9),2))</f>
        <v/>
      </c>
      <c r="N141" s="29">
        <f>IF(K141="","",ROUND(K141*(1+$C$9),2))</f>
        <v/>
      </c>
      <c r="O141" s="29">
        <f>IF(L141="","",ROUND(L141*(1+$C$9),2))</f>
        <v/>
      </c>
      <c r="P141" s="30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  <c r="R141" s="31" t="n"/>
      <c r="S141" s="8" t="n"/>
      <c r="T141" s="29">
        <f>IF($R141="","",ROUND($R141*(1-N($S141)),2))</f>
        <v/>
      </c>
      <c r="U141" s="32">
        <f>IF(OR($T141="",$T141=0,$J141=""),"",($T141-$J141)/$T141)</f>
        <v/>
      </c>
      <c r="V141" s="32">
        <f>IF(OR($T141="",$T141=0,$K141=""),"",($T141-$K141)/$T141)</f>
        <v/>
      </c>
    </row>
    <row r="142">
      <c r="A142" s="20" t="inlineStr">
        <is>
          <t>AKKS003-B-19</t>
        </is>
      </c>
      <c r="B142" s="21">
        <f>IFERROR(INDEX(Conversion!$C$2:$C$500,MATCH($A142,Conversion!$B$2:$B$500,0)),"NOT ASSIGNED")</f>
        <v/>
      </c>
      <c r="C142" s="22" t="inlineStr">
        <is>
          <t>Plastic shower head blue with 19mm hose tail MESC019 (separate)</t>
        </is>
      </c>
      <c r="D142" s="23" t="inlineStr">
        <is>
          <t>Shower Wash Head, 1/2" F, w/ 19 mm hose tail (loose), blue, PA66 plastic</t>
        </is>
      </c>
      <c r="E142" s="33" t="n">
        <v>0.3</v>
      </c>
      <c r="F142" s="25" t="inlineStr">
        <is>
          <t>ESTIMATE - 260 g shower (p.26) + MESC019 hose tail est.</t>
        </is>
      </c>
      <c r="G142" s="26" t="n">
        <v>46.099856</v>
      </c>
      <c r="H142" s="26" t="n">
        <v>40.337374</v>
      </c>
      <c r="I142" s="26" t="n">
        <v>37.456133</v>
      </c>
      <c r="J142" s="28">
        <f>IF(G142="","",G142/$C$5*(1+$C$8)+$E142*(1+$C$7)*$C$6)</f>
        <v/>
      </c>
      <c r="K142" s="28">
        <f>IF(H142="","",H142/$C$5*(1+$C$8)+$E142*(1+$C$7)*$C$6)</f>
        <v/>
      </c>
      <c r="L142" s="28">
        <f>IF(I142="","",I142/$C$5*(1+$C$8)+$E142*(1+$C$7)*$C$6)</f>
        <v/>
      </c>
      <c r="M142" s="29">
        <f>IF(J142="","",ROUND(J142*(1+$C$9),2))</f>
        <v/>
      </c>
      <c r="N142" s="29">
        <f>IF(K142="","",ROUND(K142*(1+$C$9),2))</f>
        <v/>
      </c>
      <c r="O142" s="29">
        <f>IF(L142="","",ROUND(L142*(1+$C$9),2))</f>
        <v/>
      </c>
      <c r="P142" s="30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  <c r="R142" s="31" t="n"/>
      <c r="S142" s="8" t="n"/>
      <c r="T142" s="29">
        <f>IF($R142="","",ROUND($R142*(1-N($S142)),2))</f>
        <v/>
      </c>
      <c r="U142" s="32">
        <f>IF(OR($T142="",$T142=0,$J142=""),"",($T142-$J142)/$T142)</f>
        <v/>
      </c>
      <c r="V142" s="32">
        <f>IF(OR($T142="",$T142=0,$K142=""),"",($T142-$K142)/$T142)</f>
        <v/>
      </c>
    </row>
    <row r="143">
      <c r="A143" s="20" t="inlineStr">
        <is>
          <t>AKKS003-W</t>
        </is>
      </c>
      <c r="B143" s="21">
        <f>IFERROR(INDEX(Conversion!$C$2:$C$500,MATCH($A143,Conversion!$B$2:$B$500,0)),"NOT ASSIGNED")</f>
        <v/>
      </c>
      <c r="C143" s="22" t="inlineStr">
        <is>
          <t>Plastic shower head, white</t>
        </is>
      </c>
      <c r="D143" s="23" t="inlineStr">
        <is>
          <t>Shower Wash Head, 1/2" F, white, PA66 plastic</t>
        </is>
      </c>
      <c r="E143" s="24" t="n">
        <v>0.26</v>
      </c>
      <c r="F143" s="25" t="inlineStr">
        <is>
          <t>Cat p.26</t>
        </is>
      </c>
      <c r="G143" s="26" t="n">
        <v>42.096208</v>
      </c>
      <c r="H143" s="26" t="n">
        <v>36.834182</v>
      </c>
      <c r="I143" s="26" t="n">
        <v>34.203169</v>
      </c>
      <c r="J143" s="28">
        <f>IF(G143="","",G143/$C$5*(1+$C$8)+$E143*(1+$C$7)*$C$6)</f>
        <v/>
      </c>
      <c r="K143" s="28">
        <f>IF(H143="","",H143/$C$5*(1+$C$8)+$E143*(1+$C$7)*$C$6)</f>
        <v/>
      </c>
      <c r="L143" s="28">
        <f>IF(I143="","",I143/$C$5*(1+$C$8)+$E143*(1+$C$7)*$C$6)</f>
        <v/>
      </c>
      <c r="M143" s="29">
        <f>IF(J143="","",ROUND(J143*(1+$C$9),2))</f>
        <v/>
      </c>
      <c r="N143" s="29">
        <f>IF(K143="","",ROUND(K143*(1+$C$9),2))</f>
        <v/>
      </c>
      <c r="O143" s="29">
        <f>IF(L143="","",ROUND(L143*(1+$C$9),2))</f>
        <v/>
      </c>
      <c r="P143" s="30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  <c r="R143" s="31" t="n"/>
      <c r="S143" s="8" t="n"/>
      <c r="T143" s="29">
        <f>IF($R143="","",ROUND($R143*(1-N($S143)),2))</f>
        <v/>
      </c>
      <c r="U143" s="32">
        <f>IF(OR($T143="",$T143=0,$J143=""),"",($T143-$J143)/$T143)</f>
        <v/>
      </c>
      <c r="V143" s="32">
        <f>IF(OR($T143="",$T143=0,$K143=""),"",($T143-$K143)/$T143)</f>
        <v/>
      </c>
    </row>
    <row r="144">
      <c r="A144" s="20" t="inlineStr">
        <is>
          <t>AKKS003-W-19</t>
        </is>
      </c>
      <c r="B144" s="21">
        <f>IFERROR(INDEX(Conversion!$C$2:$C$500,MATCH($A144,Conversion!$B$2:$B$500,0)),"NOT ASSIGNED")</f>
        <v/>
      </c>
      <c r="C144" s="22" t="inlineStr">
        <is>
          <t>Plastic shower head white with 19mm hose tail MESC019 (separate)</t>
        </is>
      </c>
      <c r="D144" s="23" t="inlineStr">
        <is>
          <t>Shower Wash Head, 1/2" F, w/ 19 mm hose tail (loose), white, PA66 plastic</t>
        </is>
      </c>
      <c r="E144" s="33" t="n">
        <v>0.3</v>
      </c>
      <c r="F144" s="25" t="inlineStr">
        <is>
          <t>ESTIMATE - 260 g shower (p.26) + MESC019 hose tail est.</t>
        </is>
      </c>
      <c r="G144" s="26" t="n">
        <v>46.099856</v>
      </c>
      <c r="H144" s="26" t="n">
        <v>40.337374</v>
      </c>
      <c r="I144" s="26" t="n">
        <v>37.456133</v>
      </c>
      <c r="J144" s="28">
        <f>IF(G144="","",G144/$C$5*(1+$C$8)+$E144*(1+$C$7)*$C$6)</f>
        <v/>
      </c>
      <c r="K144" s="28">
        <f>IF(H144="","",H144/$C$5*(1+$C$8)+$E144*(1+$C$7)*$C$6)</f>
        <v/>
      </c>
      <c r="L144" s="28">
        <f>IF(I144="","",I144/$C$5*(1+$C$8)+$E144*(1+$C$7)*$C$6)</f>
        <v/>
      </c>
      <c r="M144" s="29">
        <f>IF(J144="","",ROUND(J144*(1+$C$9),2))</f>
        <v/>
      </c>
      <c r="N144" s="29">
        <f>IF(K144="","",ROUND(K144*(1+$C$9),2))</f>
        <v/>
      </c>
      <c r="O144" s="29">
        <f>IF(L144="","",ROUND(L144*(1+$C$9),2))</f>
        <v/>
      </c>
      <c r="P144" s="30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  <c r="R144" s="31" t="n"/>
      <c r="S144" s="8" t="n"/>
      <c r="T144" s="29">
        <f>IF($R144="","",ROUND($R144*(1-N($S144)),2))</f>
        <v/>
      </c>
      <c r="U144" s="32">
        <f>IF(OR($T144="",$T144=0,$J144=""),"",($T144-$J144)/$T144)</f>
        <v/>
      </c>
      <c r="V144" s="32">
        <f>IF(OR($T144="",$T144=0,$K144=""),"",($T144-$K144)/$T144)</f>
        <v/>
      </c>
    </row>
    <row r="145"/>
    <row r="146">
      <c r="A146" s="14" t="inlineStr">
        <is>
          <t>Protected ball valves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R146" s="15" t="n"/>
      <c r="S146" s="15" t="n"/>
      <c r="T146" s="15" t="n"/>
      <c r="U146" s="15" t="n"/>
      <c r="V146" s="15" t="n"/>
    </row>
    <row r="147"/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  <c r="R148" s="17" t="n"/>
      <c r="S148" s="17" t="n"/>
      <c r="T148" s="17" t="n"/>
      <c r="U148" s="19" t="inlineStr">
        <is>
          <t>&lt; 10 pcs</t>
        </is>
      </c>
      <c r="V148" s="19" t="inlineStr">
        <is>
          <t>≥ 10 pcs</t>
        </is>
      </c>
    </row>
    <row r="149">
      <c r="A149" s="20" t="inlineStr">
        <is>
          <t>BALR001-B</t>
        </is>
      </c>
      <c r="B149" s="21">
        <f>IFERROR(INDEX(Conversion!$C$2:$C$500,MATCH($A149,Conversion!$B$2:$B$500,0)),"NOT ASSIGNED")</f>
        <v/>
      </c>
      <c r="C149" s="22" t="inlineStr">
        <is>
          <t>St.st. protected ball valve, 1/2" female x 1/2" female, blue</t>
        </is>
      </c>
      <c r="D149" s="23" t="inlineStr">
        <is>
          <t>Shielded ball valve, 1/2" F x 1/2" F, EPDM protection, blue, stainless steel 304</t>
        </is>
      </c>
      <c r="E149" s="33" t="n">
        <v>0.4</v>
      </c>
      <c r="F149" s="25" t="inlineStr">
        <is>
          <t>ESTIMATE - weight not in catalogue (p.38)</t>
        </is>
      </c>
      <c r="G149" s="26" t="n">
        <v>43.892266</v>
      </c>
      <c r="H149" s="26" t="n">
        <v>41.310368</v>
      </c>
      <c r="I149" s="26" t="n">
        <v>36.146572</v>
      </c>
      <c r="J149" s="28">
        <f>IF(G149="","",G149/$C$5*(1+$C$8)+$E149*(1+$C$7)*$C$6)</f>
        <v/>
      </c>
      <c r="K149" s="28">
        <f>IF(H149="","",H149/$C$5*(1+$C$8)+$E149*(1+$C$7)*$C$6)</f>
        <v/>
      </c>
      <c r="L149" s="28">
        <f>IF(I149="","",I149/$C$5*(1+$C$8)+$E149*(1+$C$7)*$C$6)</f>
        <v/>
      </c>
      <c r="M149" s="29">
        <f>IF(J149="","",ROUND(J149*(1+$C$9),2))</f>
        <v/>
      </c>
      <c r="N149" s="29">
        <f>IF(K149="","",ROUND(K149*(1+$C$9),2))</f>
        <v/>
      </c>
      <c r="O149" s="29">
        <f>IF(L149="","",ROUND(L149*(1+$C$9),2))</f>
        <v/>
      </c>
      <c r="P149" s="30">
        <f>TRIM(IF($B149="NOT ASSIGNED","No NW part no. ","")&amp;IFERROR(IF(INDEX(Conversion!$J$2:$J$500,MATCH($A149,Conversion!$B$2:$B$500,0))="Needs review","Conversion table: needs review. ",""),"")&amp;IF(LEFT($F149,8)="ESTIMATE","Weight estimated. ","")&amp;"")</f>
        <v/>
      </c>
      <c r="R149" s="31" t="n"/>
      <c r="S149" s="8" t="n"/>
      <c r="T149" s="29">
        <f>IF($R149="","",ROUND($R149*(1-N($S149)),2))</f>
        <v/>
      </c>
      <c r="U149" s="32">
        <f>IF(OR($T149="",$T149=0,$J149=""),"",($T149-$J149)/$T149)</f>
        <v/>
      </c>
      <c r="V149" s="32">
        <f>IF(OR($T149="",$T149=0,$K149=""),"",($T149-$K149)/$T149)</f>
        <v/>
      </c>
    </row>
    <row r="150">
      <c r="A150" s="20" t="inlineStr">
        <is>
          <t>BALRCP1-B</t>
        </is>
      </c>
      <c r="B150" s="21">
        <f>IFERROR(INDEX(Conversion!$C$2:$C$500,MATCH($A150,Conversion!$B$2:$B$500,0)),"NOT ASSIGNED")</f>
        <v/>
      </c>
      <c r="C150" s="22" t="inlineStr">
        <is>
          <t>St.st. protected ball valve, 1/2" female x st.st. coupler with protection, blue</t>
        </is>
      </c>
      <c r="D150" s="23" t="inlineStr">
        <is>
          <t>Shielded ball valve, 1/2" F x quick coupling, EPDM protection, blue, stainless steel 304</t>
        </is>
      </c>
      <c r="E150" s="33" t="n">
        <v>0.55</v>
      </c>
      <c r="F150" s="25" t="inlineStr">
        <is>
          <t>ESTIMATE - weight not in catalogue (p.38)</t>
        </is>
      </c>
      <c r="G150" s="26" t="n">
        <v>63.025919</v>
      </c>
      <c r="H150" s="26" t="n">
        <v>59.318512</v>
      </c>
      <c r="I150" s="26" t="n">
        <v>51.903698</v>
      </c>
      <c r="J150" s="28">
        <f>IF(G150="","",G150/$C$5*(1+$C$8)+$E150*(1+$C$7)*$C$6)</f>
        <v/>
      </c>
      <c r="K150" s="28">
        <f>IF(H150="","",H150/$C$5*(1+$C$8)+$E150*(1+$C$7)*$C$6)</f>
        <v/>
      </c>
      <c r="L150" s="28">
        <f>IF(I150="","",I150/$C$5*(1+$C$8)+$E150*(1+$C$7)*$C$6)</f>
        <v/>
      </c>
      <c r="M150" s="29">
        <f>IF(J150="","",ROUND(J150*(1+$C$9),2))</f>
        <v/>
      </c>
      <c r="N150" s="29">
        <f>IF(K150="","",ROUND(K150*(1+$C$9),2))</f>
        <v/>
      </c>
      <c r="O150" s="29">
        <f>IF(L150="","",ROUND(L150*(1+$C$9),2))</f>
        <v/>
      </c>
      <c r="P150" s="30">
        <f>TRIM(IF($B150="NOT ASSIGNED","No NW part no. ","")&amp;IFERROR(IF(INDEX(Conversion!$J$2:$J$500,MATCH($A150,Conversion!$B$2:$B$500,0))="Needs review","Conversion table: needs review. ",""),"")&amp;IF(LEFT($F150,8)="ESTIMATE","Weight estimated. ","")&amp;"")</f>
        <v/>
      </c>
      <c r="R150" s="31" t="n"/>
      <c r="S150" s="8" t="n"/>
      <c r="T150" s="29">
        <f>IF($R150="","",ROUND($R150*(1-N($S150)),2))</f>
        <v/>
      </c>
      <c r="U150" s="32">
        <f>IF(OR($T150="",$T150=0,$J150=""),"",($T150-$J150)/$T150)</f>
        <v/>
      </c>
      <c r="V150" s="32">
        <f>IF(OR($T150="",$T150=0,$K150=""),"",($T150-$K150)/$T150)</f>
        <v/>
      </c>
    </row>
    <row r="151">
      <c r="A151" s="20" t="inlineStr">
        <is>
          <t>BALRCP1-NB</t>
        </is>
      </c>
      <c r="B151" s="21">
        <f>IFERROR(INDEX(Conversion!$C$2:$C$500,MATCH($A151,Conversion!$B$2:$B$500,0)),"NOT ASSIGNED")</f>
        <v/>
      </c>
      <c r="C151" s="22" t="inlineStr">
        <is>
          <t>St.st. protected ball valve, 1/2" female x st.st. coupler with nylon protection, blue</t>
        </is>
      </c>
      <c r="D151" s="23" t="inlineStr">
        <is>
          <t>Shielded ball valve, 1/2" F x quick coupling, nylon protection, blue, stainless steel 304</t>
        </is>
      </c>
      <c r="E151" s="33" t="n">
        <v>0.55</v>
      </c>
      <c r="F151" s="25" t="inlineStr">
        <is>
          <t>ESTIMATE - weight not in catalogue (p.38)</t>
        </is>
      </c>
      <c r="G151" s="26" t="n">
        <v>66.53273</v>
      </c>
      <c r="H151" s="26" t="n">
        <v>62.61904</v>
      </c>
      <c r="I151" s="26" t="n">
        <v>54.79166</v>
      </c>
      <c r="J151" s="28">
        <f>IF(G151="","",G151/$C$5*(1+$C$8)+$E151*(1+$C$7)*$C$6)</f>
        <v/>
      </c>
      <c r="K151" s="28">
        <f>IF(H151="","",H151/$C$5*(1+$C$8)+$E151*(1+$C$7)*$C$6)</f>
        <v/>
      </c>
      <c r="L151" s="28">
        <f>IF(I151="","",I151/$C$5*(1+$C$8)+$E151*(1+$C$7)*$C$6)</f>
        <v/>
      </c>
      <c r="M151" s="29">
        <f>IF(J151="","",ROUND(J151*(1+$C$9),2))</f>
        <v/>
      </c>
      <c r="N151" s="29">
        <f>IF(K151="","",ROUND(K151*(1+$C$9),2))</f>
        <v/>
      </c>
      <c r="O151" s="29">
        <f>IF(L151="","",ROUND(L151*(1+$C$9),2))</f>
        <v/>
      </c>
      <c r="P151" s="30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  <c r="R151" s="31" t="n"/>
      <c r="S151" s="8" t="n"/>
      <c r="T151" s="29">
        <f>IF($R151="","",ROUND($R151*(1-N($S151)),2))</f>
        <v/>
      </c>
      <c r="U151" s="32">
        <f>IF(OR($T151="",$T151=0,$J151=""),"",($T151-$J151)/$T151)</f>
        <v/>
      </c>
      <c r="V151" s="32">
        <f>IF(OR($T151="",$T151=0,$K151=""),"",($T151-$K151)/$T151)</f>
        <v/>
      </c>
    </row>
    <row r="152">
      <c r="A152" s="20" t="inlineStr">
        <is>
          <t>BARRCP2-B</t>
        </is>
      </c>
      <c r="B152" s="21">
        <f>IFERROR(INDEX(Conversion!$C$2:$C$500,MATCH($A152,Conversion!$B$2:$B$500,0)),"NOT ASSIGNED")</f>
        <v/>
      </c>
      <c r="C152" s="22" t="inlineStr">
        <is>
          <t>Stainless steel (AISI 316) ball valve with mechanical protection, coupler with blue protection and adapter</t>
        </is>
      </c>
      <c r="D152" s="23" t="inlineStr">
        <is>
          <t>Shielded ball valve, 1/2" F x quick coupling, EPDM protection, lever guard, blue, stainless steel 316</t>
        </is>
      </c>
      <c r="E152" s="33" t="n">
        <v>0.6</v>
      </c>
      <c r="F152" s="25" t="inlineStr">
        <is>
          <t>ESTIMATE - weight not in catalogue (p.38)</t>
        </is>
      </c>
      <c r="G152" s="26" t="n">
        <v>52.874624</v>
      </c>
      <c r="H152" s="26" t="n">
        <v>49.764352</v>
      </c>
      <c r="I152" s="26" t="n">
        <v>43.543808</v>
      </c>
      <c r="J152" s="28">
        <f>IF(G152="","",G152/$C$5*(1+$C$8)+$E152*(1+$C$7)*$C$6)</f>
        <v/>
      </c>
      <c r="K152" s="28">
        <f>IF(H152="","",H152/$C$5*(1+$C$8)+$E152*(1+$C$7)*$C$6)</f>
        <v/>
      </c>
      <c r="L152" s="28">
        <f>IF(I152="","",I152/$C$5*(1+$C$8)+$E152*(1+$C$7)*$C$6)</f>
        <v/>
      </c>
      <c r="M152" s="29">
        <f>IF(J152="","",ROUND(J152*(1+$C$9),2))</f>
        <v/>
      </c>
      <c r="N152" s="29">
        <f>IF(K152="","",ROUND(K152*(1+$C$9),2))</f>
        <v/>
      </c>
      <c r="O152" s="29">
        <f>IF(L152="","",ROUND(L152*(1+$C$9),2))</f>
        <v/>
      </c>
      <c r="P152" s="30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  <c r="R152" s="31" t="n"/>
      <c r="S152" s="8" t="n"/>
      <c r="T152" s="29">
        <f>IF($R152="","",ROUND($R152*(1-N($S152)),2))</f>
        <v/>
      </c>
      <c r="U152" s="32">
        <f>IF(OR($T152="",$T152=0,$J152=""),"",($T152-$J152)/$T152)</f>
        <v/>
      </c>
      <c r="V152" s="32">
        <f>IF(OR($T152="",$T152=0,$K152=""),"",($T152-$K152)/$T152)</f>
        <v/>
      </c>
    </row>
    <row r="153"/>
    <row r="154">
      <c r="A154" s="14" t="inlineStr">
        <is>
          <t>Ball bearing swivels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R154" s="15" t="n"/>
      <c r="S154" s="15" t="n"/>
      <c r="T154" s="15" t="n"/>
      <c r="U154" s="15" t="n"/>
      <c r="V154" s="15" t="n"/>
    </row>
    <row r="155"/>
    <row r="156">
      <c r="A156" s="16" t="inlineStr">
        <is>
          <t>Qty break</t>
        </is>
      </c>
      <c r="B156" s="17" t="n"/>
      <c r="C156" s="17" t="n"/>
      <c r="D156" s="17" t="n"/>
      <c r="E156" s="17" t="n"/>
      <c r="F156" s="17" t="n"/>
      <c r="G156" s="18" t="inlineStr">
        <is>
          <t>&lt; 10 pcs</t>
        </is>
      </c>
      <c r="H156" s="18" t="inlineStr">
        <is>
          <t>≥ 10 pcs</t>
        </is>
      </c>
      <c r="I156" s="18" t="inlineStr">
        <is>
          <t>≥ 50 pcs</t>
        </is>
      </c>
      <c r="J156" s="18" t="inlineStr">
        <is>
          <t>&lt; 10 pcs</t>
        </is>
      </c>
      <c r="K156" s="18" t="inlineStr">
        <is>
          <t>≥ 10 pcs</t>
        </is>
      </c>
      <c r="L156" s="18" t="inlineStr">
        <is>
          <t>≥ 50 pcs</t>
        </is>
      </c>
      <c r="M156" s="18" t="inlineStr">
        <is>
          <t>&lt; 10 pcs</t>
        </is>
      </c>
      <c r="N156" s="18" t="inlineStr">
        <is>
          <t>≥ 10 pcs</t>
        </is>
      </c>
      <c r="O156" s="18" t="inlineStr">
        <is>
          <t>≥ 50 pcs</t>
        </is>
      </c>
      <c r="P156" s="17" t="n"/>
      <c r="R156" s="17" t="n"/>
      <c r="S156" s="17" t="n"/>
      <c r="T156" s="17" t="n"/>
      <c r="U156" s="19" t="inlineStr">
        <is>
          <t>&lt; 10 pcs</t>
        </is>
      </c>
      <c r="V156" s="19" t="inlineStr">
        <is>
          <t>≥ 10 pcs</t>
        </is>
      </c>
    </row>
    <row r="157">
      <c r="A157" s="34" t="inlineStr">
        <is>
          <t>Brass ball bearing swivels</t>
        </is>
      </c>
      <c r="B157" s="35" t="n"/>
      <c r="C157" s="35" t="n"/>
      <c r="D157" s="35" t="n"/>
      <c r="E157" s="35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R157" s="35" t="n"/>
      <c r="S157" s="35" t="n"/>
      <c r="T157" s="35" t="n"/>
      <c r="U157" s="35" t="n"/>
      <c r="V157" s="35" t="n"/>
    </row>
    <row r="158"/>
    <row r="159">
      <c r="A159" s="20" t="inlineStr">
        <is>
          <t>SWM09-12</t>
        </is>
      </c>
      <c r="B159" s="21">
        <f>IFERROR(INDEX(Conversion!$C$2:$C$500,MATCH($A159,Conversion!$B$2:$B$500,0)),"NOT ASSIGNED")</f>
        <v/>
      </c>
      <c r="C159" s="22" t="inlineStr">
        <is>
          <t>Brass ball bearing swivel, 1/2" male x 1/2" female, 9mm bore, flat seals</t>
        </is>
      </c>
      <c r="D159" s="23" t="inlineStr">
        <is>
          <t>Ball bearing swivel, 1/2" M x 1/2" F, 9 mm bore, brass</t>
        </is>
      </c>
      <c r="E159" s="33" t="n">
        <v>0.09</v>
      </c>
      <c r="F159" s="25" t="inlineStr">
        <is>
          <t>ESTIMATE - catalogue gives dimensions only (p.68-71)</t>
        </is>
      </c>
      <c r="G159" s="26" t="n">
        <v>10.100112</v>
      </c>
      <c r="H159" s="26" t="n">
        <v>8.837598</v>
      </c>
      <c r="I159" s="26" t="n">
        <v>8.206341</v>
      </c>
      <c r="J159" s="28">
        <f>IF(G159="","",G159/$C$5*(1+$C$8)+$E159*(1+$C$7)*$C$6)</f>
        <v/>
      </c>
      <c r="K159" s="28">
        <f>IF(H159="","",H159/$C$5*(1+$C$8)+$E159*(1+$C$7)*$C$6)</f>
        <v/>
      </c>
      <c r="L159" s="28">
        <f>IF(I159="","",I159/$C$5*(1+$C$8)+$E159*(1+$C$7)*$C$6)</f>
        <v/>
      </c>
      <c r="M159" s="29">
        <f>IF(J159="","",ROUND(J159*(1+$C$9),2))</f>
        <v/>
      </c>
      <c r="N159" s="29">
        <f>IF(K159="","",ROUND(K159*(1+$C$9),2))</f>
        <v/>
      </c>
      <c r="O159" s="29">
        <f>IF(L159="","",ROUND(L159*(1+$C$9),2))</f>
        <v/>
      </c>
      <c r="P159" s="30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  <c r="R159" s="31" t="n"/>
      <c r="S159" s="8" t="n"/>
      <c r="T159" s="29">
        <f>IF($R159="","",ROUND($R159*(1-N($S159)),2))</f>
        <v/>
      </c>
      <c r="U159" s="32">
        <f>IF(OR($T159="",$T159=0,$J159=""),"",($T159-$J159)/$T159)</f>
        <v/>
      </c>
      <c r="V159" s="32">
        <f>IF(OR($T159="",$T159=0,$K159=""),"",($T159-$K159)/$T159)</f>
        <v/>
      </c>
    </row>
    <row r="160">
      <c r="A160" s="20" t="inlineStr">
        <is>
          <t>SWM09-34</t>
        </is>
      </c>
      <c r="B160" s="21">
        <f>IFERROR(INDEX(Conversion!$C$2:$C$500,MATCH($A160,Conversion!$B$2:$B$500,0)),"NOT ASSIGNED")</f>
        <v/>
      </c>
      <c r="C160" s="22" t="inlineStr">
        <is>
          <t>Brass ball bearing swivel, 1/2" male x 3/4" female, 9mm bore, flat seals</t>
        </is>
      </c>
      <c r="D160" s="23" t="inlineStr">
        <is>
          <t>Ball bearing swivel, 1/2" M x 3/4" F, 9 mm bore, brass</t>
        </is>
      </c>
      <c r="E160" s="33" t="n">
        <v>0.1</v>
      </c>
      <c r="F160" s="25" t="inlineStr">
        <is>
          <t>ESTIMATE - catalogue gives dimensions only (p.68-71)</t>
        </is>
      </c>
      <c r="G160" s="26" t="n">
        <v>10.447536</v>
      </c>
      <c r="H160" s="26" t="n">
        <v>9.141594</v>
      </c>
      <c r="I160" s="26" t="n">
        <v>8.488623</v>
      </c>
      <c r="J160" s="28">
        <f>IF(G160="","",G160/$C$5*(1+$C$8)+$E160*(1+$C$7)*$C$6)</f>
        <v/>
      </c>
      <c r="K160" s="28">
        <f>IF(H160="","",H160/$C$5*(1+$C$8)+$E160*(1+$C$7)*$C$6)</f>
        <v/>
      </c>
      <c r="L160" s="28">
        <f>IF(I160="","",I160/$C$5*(1+$C$8)+$E160*(1+$C$7)*$C$6)</f>
        <v/>
      </c>
      <c r="M160" s="29">
        <f>IF(J160="","",ROUND(J160*(1+$C$9),2))</f>
        <v/>
      </c>
      <c r="N160" s="29">
        <f>IF(K160="","",ROUND(K160*(1+$C$9),2))</f>
        <v/>
      </c>
      <c r="O160" s="29">
        <f>IF(L160="","",ROUND(L160*(1+$C$9),2))</f>
        <v/>
      </c>
      <c r="P160" s="30">
        <f>TRIM(IF($B160="NOT ASSIGNED","No NW part no. ","")&amp;IFERROR(IF(INDEX(Conversion!$J$2:$J$500,MATCH($A160,Conversion!$B$2:$B$500,0))="Needs review","Conversion table: needs review. ",""),"")&amp;IF(LEFT($F160,8)="ESTIMATE","Weight estimated. ","")&amp;"")</f>
        <v/>
      </c>
      <c r="R160" s="31" t="n"/>
      <c r="S160" s="8" t="n"/>
      <c r="T160" s="29">
        <f>IF($R160="","",ROUND($R160*(1-N($S160)),2))</f>
        <v/>
      </c>
      <c r="U160" s="32">
        <f>IF(OR($T160="",$T160=0,$J160=""),"",($T160-$J160)/$T160)</f>
        <v/>
      </c>
      <c r="V160" s="32">
        <f>IF(OR($T160="",$T160=0,$K160=""),"",($T160-$K160)/$T160)</f>
        <v/>
      </c>
    </row>
    <row r="161">
      <c r="A161" s="20" t="inlineStr">
        <is>
          <t>SWM14-34</t>
        </is>
      </c>
      <c r="B161" s="21">
        <f>IFERROR(INDEX(Conversion!$C$2:$C$500,MATCH($A161,Conversion!$B$2:$B$500,0)),"NOT ASSIGNED")</f>
        <v/>
      </c>
      <c r="C161" s="22" t="inlineStr">
        <is>
          <t>Brass ball bearing swivel, 1/2" male x 3/4" female, 14mm bore, flat seals</t>
        </is>
      </c>
      <c r="D161" s="23" t="inlineStr">
        <is>
          <t>Ball bearing swivel, 1/2" M x 3/4" F, 14 mm bore, brass</t>
        </is>
      </c>
      <c r="E161" s="33" t="n">
        <v>0.13</v>
      </c>
      <c r="F161" s="25" t="inlineStr">
        <is>
          <t>ESTIMATE - catalogue gives dimensions only (p.68-71)</t>
        </is>
      </c>
      <c r="G161" s="26" t="n">
        <v>11.1672</v>
      </c>
      <c r="H161" s="26" t="n">
        <v>9.7713</v>
      </c>
      <c r="I161" s="26" t="n">
        <v>9.07335</v>
      </c>
      <c r="J161" s="28">
        <f>IF(G161="","",G161/$C$5*(1+$C$8)+$E161*(1+$C$7)*$C$6)</f>
        <v/>
      </c>
      <c r="K161" s="28">
        <f>IF(H161="","",H161/$C$5*(1+$C$8)+$E161*(1+$C$7)*$C$6)</f>
        <v/>
      </c>
      <c r="L161" s="28">
        <f>IF(I161="","",I161/$C$5*(1+$C$8)+$E161*(1+$C$7)*$C$6)</f>
        <v/>
      </c>
      <c r="M161" s="29">
        <f>IF(J161="","",ROUND(J161*(1+$C$9),2))</f>
        <v/>
      </c>
      <c r="N161" s="29">
        <f>IF(K161="","",ROUND(K161*(1+$C$9),2))</f>
        <v/>
      </c>
      <c r="O161" s="29">
        <f>IF(L161="","",ROUND(L161*(1+$C$9),2))</f>
        <v/>
      </c>
      <c r="P161" s="30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  <c r="R161" s="31" t="n"/>
      <c r="S161" s="8" t="n"/>
      <c r="T161" s="29">
        <f>IF($R161="","",ROUND($R161*(1-N($S161)),2))</f>
        <v/>
      </c>
      <c r="U161" s="32">
        <f>IF(OR($T161="",$T161=0,$J161=""),"",($T161-$J161)/$T161)</f>
        <v/>
      </c>
      <c r="V161" s="32">
        <f>IF(OR($T161="",$T161=0,$K161=""),"",($T161-$K161)/$T161)</f>
        <v/>
      </c>
    </row>
    <row r="162">
      <c r="A162" s="20" t="inlineStr">
        <is>
          <t>SWM14-34X34</t>
        </is>
      </c>
      <c r="B162" s="21">
        <f>IFERROR(INDEX(Conversion!$C$2:$C$500,MATCH($A162,Conversion!$B$2:$B$500,0)),"NOT ASSIGNED")</f>
        <v/>
      </c>
      <c r="C162" s="22" t="inlineStr">
        <is>
          <t>Brass ball bearing swivel, 3/4" male x 3/4" female, 14mm bore, flat seals</t>
        </is>
      </c>
      <c r="D162" s="23" t="inlineStr">
        <is>
          <t>Ball bearing swivel, 3/4" M x 3/4" F, 14 mm bore, brass</t>
        </is>
      </c>
      <c r="E162" s="33" t="n">
        <v>0.15</v>
      </c>
      <c r="F162" s="25" t="inlineStr">
        <is>
          <t>ESTIMATE - catalogue gives dimensions only (p.68-71)</t>
        </is>
      </c>
      <c r="G162" s="26" t="n">
        <v>12.672704</v>
      </c>
      <c r="H162" s="26" t="n">
        <v>11.088616</v>
      </c>
      <c r="I162" s="26" t="n">
        <v>10.296572</v>
      </c>
      <c r="J162" s="28">
        <f>IF(G162="","",G162/$C$5*(1+$C$8)+$E162*(1+$C$7)*$C$6)</f>
        <v/>
      </c>
      <c r="K162" s="28">
        <f>IF(H162="","",H162/$C$5*(1+$C$8)+$E162*(1+$C$7)*$C$6)</f>
        <v/>
      </c>
      <c r="L162" s="28">
        <f>IF(I162="","",I162/$C$5*(1+$C$8)+$E162*(1+$C$7)*$C$6)</f>
        <v/>
      </c>
      <c r="M162" s="29">
        <f>IF(J162="","",ROUND(J162*(1+$C$9),2))</f>
        <v/>
      </c>
      <c r="N162" s="29">
        <f>IF(K162="","",ROUND(K162*(1+$C$9),2))</f>
        <v/>
      </c>
      <c r="O162" s="29">
        <f>IF(L162="","",ROUND(L162*(1+$C$9),2))</f>
        <v/>
      </c>
      <c r="P162" s="30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  <c r="R162" s="31" t="n"/>
      <c r="S162" s="8" t="n"/>
      <c r="T162" s="29">
        <f>IF($R162="","",ROUND($R162*(1-N($S162)),2))</f>
        <v/>
      </c>
      <c r="U162" s="32">
        <f>IF(OR($T162="",$T162=0,$J162=""),"",($T162-$J162)/$T162)</f>
        <v/>
      </c>
      <c r="V162" s="32">
        <f>IF(OR($T162="",$T162=0,$K162=""),"",($T162-$K162)/$T162)</f>
        <v/>
      </c>
    </row>
    <row r="163">
      <c r="A163" s="20" t="inlineStr">
        <is>
          <t>SWM18-1X1</t>
        </is>
      </c>
      <c r="B163" s="21">
        <f>IFERROR(INDEX(Conversion!$C$2:$C$500,MATCH($A163,Conversion!$B$2:$B$500,0)),"NOT ASSIGNED")</f>
        <v/>
      </c>
      <c r="C163" s="22" t="inlineStr">
        <is>
          <t>Brass ball bearing swivel, 1" male x 1" female, 18mm bore, flat seals</t>
        </is>
      </c>
      <c r="D163" s="23" t="inlineStr">
        <is>
          <t>Ball bearing swivel, 1" M x 1" F, 18 mm bore, brass</t>
        </is>
      </c>
      <c r="E163" s="33" t="n">
        <v>0.25</v>
      </c>
      <c r="F163" s="25" t="inlineStr">
        <is>
          <t>ESTIMATE - catalogue gives dimensions only (p.68-71)</t>
        </is>
      </c>
      <c r="G163" s="26" t="n">
        <v>19.166224</v>
      </c>
      <c r="H163" s="26" t="n">
        <v>16.770446</v>
      </c>
      <c r="I163" s="26" t="n">
        <v>15.572557</v>
      </c>
      <c r="J163" s="28">
        <f>IF(G163="","",G163/$C$5*(1+$C$8)+$E163*(1+$C$7)*$C$6)</f>
        <v/>
      </c>
      <c r="K163" s="28">
        <f>IF(H163="","",H163/$C$5*(1+$C$8)+$E163*(1+$C$7)*$C$6)</f>
        <v/>
      </c>
      <c r="L163" s="28">
        <f>IF(I163="","",I163/$C$5*(1+$C$8)+$E163*(1+$C$7)*$C$6)</f>
        <v/>
      </c>
      <c r="M163" s="29">
        <f>IF(J163="","",ROUND(J163*(1+$C$9),2))</f>
        <v/>
      </c>
      <c r="N163" s="29">
        <f>IF(K163="","",ROUND(K163*(1+$C$9),2))</f>
        <v/>
      </c>
      <c r="O163" s="29">
        <f>IF(L163="","",ROUND(L163*(1+$C$9),2))</f>
        <v/>
      </c>
      <c r="P163" s="30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  <c r="R163" s="31" t="n"/>
      <c r="S163" s="8" t="n"/>
      <c r="T163" s="29">
        <f>IF($R163="","",ROUND($R163*(1-N($S163)),2))</f>
        <v/>
      </c>
      <c r="U163" s="32">
        <f>IF(OR($T163="",$T163=0,$J163=""),"",($T163-$J163)/$T163)</f>
        <v/>
      </c>
      <c r="V163" s="32">
        <f>IF(OR($T163="",$T163=0,$K163=""),"",($T163-$K163)/$T163)</f>
        <v/>
      </c>
    </row>
    <row r="164">
      <c r="A164" s="20" t="inlineStr">
        <is>
          <t>SWM09-12MX12M</t>
        </is>
      </c>
      <c r="B164" s="21">
        <f>IFERROR(INDEX(Conversion!$C$2:$C$500,MATCH($A164,Conversion!$B$2:$B$500,0)),"NOT ASSIGNED")</f>
        <v/>
      </c>
      <c r="C164" s="22" t="inlineStr">
        <is>
          <t>Brass ball bearing swivel, 1/2" male x 1/2" male, 9mm bore, flat seals</t>
        </is>
      </c>
      <c r="D164" s="23" t="inlineStr">
        <is>
          <t>Ball bearing swivel, 1/2" M x 1/2" M, 9 mm bore, brass</t>
        </is>
      </c>
      <c r="E164" s="33" t="n">
        <v>0.09</v>
      </c>
      <c r="F164" s="25" t="inlineStr">
        <is>
          <t>ESTIMATE - catalogue gives dimensions only (p.68-71)</t>
        </is>
      </c>
      <c r="G164" s="26" t="n">
        <v>10.348272</v>
      </c>
      <c r="H164" s="26" t="n">
        <v>9.054738</v>
      </c>
      <c r="I164" s="26" t="n">
        <v>8.407971</v>
      </c>
      <c r="J164" s="28">
        <f>IF(G164="","",G164/$C$5*(1+$C$8)+$E164*(1+$C$7)*$C$6)</f>
        <v/>
      </c>
      <c r="K164" s="28">
        <f>IF(H164="","",H164/$C$5*(1+$C$8)+$E164*(1+$C$7)*$C$6)</f>
        <v/>
      </c>
      <c r="L164" s="28">
        <f>IF(I164="","",I164/$C$5*(1+$C$8)+$E164*(1+$C$7)*$C$6)</f>
        <v/>
      </c>
      <c r="M164" s="29">
        <f>IF(J164="","",ROUND(J164*(1+$C$9),2))</f>
        <v/>
      </c>
      <c r="N164" s="29">
        <f>IF(K164="","",ROUND(K164*(1+$C$9),2))</f>
        <v/>
      </c>
      <c r="O164" s="29">
        <f>IF(L164="","",ROUND(L164*(1+$C$9),2))</f>
        <v/>
      </c>
      <c r="P164" s="30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  <c r="R164" s="31" t="n"/>
      <c r="S164" s="8" t="n"/>
      <c r="T164" s="29">
        <f>IF($R164="","",ROUND($R164*(1-N($S164)),2))</f>
        <v/>
      </c>
      <c r="U164" s="32">
        <f>IF(OR($T164="",$T164=0,$J164=""),"",($T164-$J164)/$T164)</f>
        <v/>
      </c>
      <c r="V164" s="32">
        <f>IF(OR($T164="",$T164=0,$K164=""),"",($T164-$K164)/$T164)</f>
        <v/>
      </c>
    </row>
    <row r="165">
      <c r="A165" s="20" t="inlineStr">
        <is>
          <t>SWM09-12MX34M</t>
        </is>
      </c>
      <c r="B165" s="21">
        <f>IFERROR(INDEX(Conversion!$C$2:$C$500,MATCH($A165,Conversion!$B$2:$B$500,0)),"NOT ASSIGNED")</f>
        <v/>
      </c>
      <c r="C165" s="22" t="inlineStr">
        <is>
          <t>Brass ball bearing swivel, 1/2" male x 3/4" male, 9mm bore, flat seal</t>
        </is>
      </c>
      <c r="D165" s="23" t="inlineStr">
        <is>
          <t>Ball bearing swivel, 1/2" M x 3/4" M, 9 mm bore, brass</t>
        </is>
      </c>
      <c r="E165" s="33" t="n">
        <v>0.1</v>
      </c>
      <c r="F165" s="25" t="inlineStr">
        <is>
          <t>ESTIMATE - catalogue gives dimensions only (p.68-71)</t>
        </is>
      </c>
      <c r="G165" s="26" t="n">
        <v>10.348272</v>
      </c>
      <c r="H165" s="26" t="n">
        <v>9.054738</v>
      </c>
      <c r="I165" s="26" t="n">
        <v>8.407971</v>
      </c>
      <c r="J165" s="28">
        <f>IF(G165="","",G165/$C$5*(1+$C$8)+$E165*(1+$C$7)*$C$6)</f>
        <v/>
      </c>
      <c r="K165" s="28">
        <f>IF(H165="","",H165/$C$5*(1+$C$8)+$E165*(1+$C$7)*$C$6)</f>
        <v/>
      </c>
      <c r="L165" s="28">
        <f>IF(I165="","",I165/$C$5*(1+$C$8)+$E165*(1+$C$7)*$C$6)</f>
        <v/>
      </c>
      <c r="M165" s="29">
        <f>IF(J165="","",ROUND(J165*(1+$C$9),2))</f>
        <v/>
      </c>
      <c r="N165" s="29">
        <f>IF(K165="","",ROUND(K165*(1+$C$9),2))</f>
        <v/>
      </c>
      <c r="O165" s="29">
        <f>IF(L165="","",ROUND(L165*(1+$C$9),2))</f>
        <v/>
      </c>
      <c r="P165" s="30">
        <f>TRIM(IF($B165="NOT ASSIGNED","No NW part no. ","")&amp;IFERROR(IF(INDEX(Conversion!$J$2:$J$500,MATCH($A165,Conversion!$B$2:$B$500,0))="Needs review","Conversion table: needs review. ",""),"")&amp;IF(LEFT($F165,8)="ESTIMATE","Weight estimated. ","")&amp;"")</f>
        <v/>
      </c>
      <c r="R165" s="31" t="n"/>
      <c r="S165" s="8" t="n"/>
      <c r="T165" s="29">
        <f>IF($R165="","",ROUND($R165*(1-N($S165)),2))</f>
        <v/>
      </c>
      <c r="U165" s="32">
        <f>IF(OR($T165="",$T165=0,$J165=""),"",($T165-$J165)/$T165)</f>
        <v/>
      </c>
      <c r="V165" s="32">
        <f>IF(OR($T165="",$T165=0,$K165=""),"",($T165-$K165)/$T165)</f>
        <v/>
      </c>
    </row>
    <row r="166"/>
    <row r="167">
      <c r="A167" s="34" t="inlineStr">
        <is>
          <t>Chrome plated brass ball bearing swivels</t>
        </is>
      </c>
      <c r="B167" s="35" t="n"/>
      <c r="C167" s="35" t="n"/>
      <c r="D167" s="35" t="n"/>
      <c r="E167" s="35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R167" s="35" t="n"/>
      <c r="S167" s="35" t="n"/>
      <c r="T167" s="35" t="n"/>
      <c r="U167" s="35" t="n"/>
      <c r="V167" s="35" t="n"/>
    </row>
    <row r="168"/>
    <row r="169">
      <c r="A169" s="20" t="inlineStr">
        <is>
          <t>SWC09-12</t>
        </is>
      </c>
      <c r="B169" s="21">
        <f>IFERROR(INDEX(Conversion!$C$2:$C$500,MATCH($A169,Conversion!$B$2:$B$500,0)),"NOT ASSIGNED")</f>
        <v/>
      </c>
      <c r="C169" s="22" t="inlineStr">
        <is>
          <t>Chrome plated brass ball bearing swivel, 1/2" male x 1/2" female, 9mm bore, flat seals</t>
        </is>
      </c>
      <c r="D169" s="23" t="inlineStr">
        <is>
          <t>Ball bearing swivel, 1/2" M x 1/2" F, 9 mm bore, chrome-plated brass</t>
        </is>
      </c>
      <c r="E169" s="33" t="n">
        <v>0.09</v>
      </c>
      <c r="F169" s="25" t="inlineStr">
        <is>
          <t>ESTIMATE - catalogue gives dimensions only (p.68-71)</t>
        </is>
      </c>
      <c r="G169" s="26" t="n">
        <v>12.978768</v>
      </c>
      <c r="H169" s="26" t="n">
        <v>11.356422</v>
      </c>
      <c r="I169" s="26" t="n">
        <v>10.545249</v>
      </c>
      <c r="J169" s="28">
        <f>IF(G169="","",G169/$C$5*(1+$C$8)+$E169*(1+$C$7)*$C$6)</f>
        <v/>
      </c>
      <c r="K169" s="28">
        <f>IF(H169="","",H169/$C$5*(1+$C$8)+$E169*(1+$C$7)*$C$6)</f>
        <v/>
      </c>
      <c r="L169" s="28">
        <f>IF(I169="","",I169/$C$5*(1+$C$8)+$E169*(1+$C$7)*$C$6)</f>
        <v/>
      </c>
      <c r="M169" s="29">
        <f>IF(J169="","",ROUND(J169*(1+$C$9),2))</f>
        <v/>
      </c>
      <c r="N169" s="29">
        <f>IF(K169="","",ROUND(K169*(1+$C$9),2))</f>
        <v/>
      </c>
      <c r="O169" s="29">
        <f>IF(L169="","",ROUND(L169*(1+$C$9),2))</f>
        <v/>
      </c>
      <c r="P169" s="30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  <c r="R169" s="31" t="n"/>
      <c r="S169" s="8" t="n"/>
      <c r="T169" s="29">
        <f>IF($R169="","",ROUND($R169*(1-N($S169)),2))</f>
        <v/>
      </c>
      <c r="U169" s="32">
        <f>IF(OR($T169="",$T169=0,$J169=""),"",($T169-$J169)/$T169)</f>
        <v/>
      </c>
      <c r="V169" s="32">
        <f>IF(OR($T169="",$T169=0,$K169=""),"",($T169-$K169)/$T169)</f>
        <v/>
      </c>
    </row>
    <row r="170">
      <c r="A170" s="20" t="inlineStr">
        <is>
          <t>SWC09-34</t>
        </is>
      </c>
      <c r="B170" s="21">
        <f>IFERROR(INDEX(Conversion!$C$2:$C$500,MATCH($A170,Conversion!$B$2:$B$500,0)),"NOT ASSIGNED")</f>
        <v/>
      </c>
      <c r="C170" s="22" t="inlineStr">
        <is>
          <t>Chrome plated brass ball bearing swivel, 1/2" male x 3/4" female, 9mm bore, flat seals</t>
        </is>
      </c>
      <c r="D170" s="23" t="inlineStr">
        <is>
          <t>Ball bearing swivel, 1/2" M x 3/4" F, 9 mm bore, chrome-plated brass</t>
        </is>
      </c>
      <c r="E170" s="33" t="n">
        <v>0.1</v>
      </c>
      <c r="F170" s="25" t="inlineStr">
        <is>
          <t>ESTIMATE - catalogue gives dimensions only (p.68-71)</t>
        </is>
      </c>
      <c r="G170" s="26" t="n">
        <v>12.978768</v>
      </c>
      <c r="H170" s="26" t="n">
        <v>11.356422</v>
      </c>
      <c r="I170" s="26" t="n">
        <v>10.545249</v>
      </c>
      <c r="J170" s="28">
        <f>IF(G170="","",G170/$C$5*(1+$C$8)+$E170*(1+$C$7)*$C$6)</f>
        <v/>
      </c>
      <c r="K170" s="28">
        <f>IF(H170="","",H170/$C$5*(1+$C$8)+$E170*(1+$C$7)*$C$6)</f>
        <v/>
      </c>
      <c r="L170" s="28">
        <f>IF(I170="","",I170/$C$5*(1+$C$8)+$E170*(1+$C$7)*$C$6)</f>
        <v/>
      </c>
      <c r="M170" s="29">
        <f>IF(J170="","",ROUND(J170*(1+$C$9),2))</f>
        <v/>
      </c>
      <c r="N170" s="29">
        <f>IF(K170="","",ROUND(K170*(1+$C$9),2))</f>
        <v/>
      </c>
      <c r="O170" s="29">
        <f>IF(L170="","",ROUND(L170*(1+$C$9),2))</f>
        <v/>
      </c>
      <c r="P170" s="30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  <c r="R170" s="31" t="n"/>
      <c r="S170" s="8" t="n"/>
      <c r="T170" s="29">
        <f>IF($R170="","",ROUND($R170*(1-N($S170)),2))</f>
        <v/>
      </c>
      <c r="U170" s="32">
        <f>IF(OR($T170="",$T170=0,$J170=""),"",($T170-$J170)/$T170)</f>
        <v/>
      </c>
      <c r="V170" s="32">
        <f>IF(OR($T170="",$T170=0,$K170=""),"",($T170-$K170)/$T170)</f>
        <v/>
      </c>
    </row>
    <row r="171"/>
    <row r="172">
      <c r="A172" s="34" t="inlineStr">
        <is>
          <t>Stainless steel 316 ball bearing swivels</t>
        </is>
      </c>
      <c r="B172" s="35" t="n"/>
      <c r="C172" s="35" t="n"/>
      <c r="D172" s="35" t="n"/>
      <c r="E172" s="35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R172" s="35" t="n"/>
      <c r="S172" s="35" t="n"/>
      <c r="T172" s="35" t="n"/>
      <c r="U172" s="35" t="n"/>
      <c r="V172" s="35" t="n"/>
    </row>
    <row r="173"/>
    <row r="174">
      <c r="A174" s="20" t="inlineStr">
        <is>
          <t>SWR09-12</t>
        </is>
      </c>
      <c r="B174" s="21">
        <f>IFERROR(INDEX(Conversion!$C$2:$C$500,MATCH($A174,Conversion!$B$2:$B$500,0)),"NOT ASSIGNED")</f>
        <v/>
      </c>
      <c r="C174" s="22" t="inlineStr">
        <is>
          <t>St.st. ball bearing swivel, 1/2" male x 1/2" female, 9mm bore, flat seals</t>
        </is>
      </c>
      <c r="D174" s="23" t="inlineStr">
        <is>
          <t>Ball bearing swivel, 1/2" M x 1/2" F, 9 mm bore, stainless steel 316</t>
        </is>
      </c>
      <c r="E174" s="33" t="n">
        <v>0.09</v>
      </c>
      <c r="F174" s="25" t="inlineStr">
        <is>
          <t>ESTIMATE - catalogue gives dimensions only (p.68-71)</t>
        </is>
      </c>
      <c r="G174" s="26" t="n">
        <v>20.076144</v>
      </c>
      <c r="H174" s="26" t="n">
        <v>17.566626</v>
      </c>
      <c r="I174" s="26" t="n">
        <v>16.311867</v>
      </c>
      <c r="J174" s="28">
        <f>IF(G174="","",G174/$C$5*(1+$C$8)+$E174*(1+$C$7)*$C$6)</f>
        <v/>
      </c>
      <c r="K174" s="28">
        <f>IF(H174="","",H174/$C$5*(1+$C$8)+$E174*(1+$C$7)*$C$6)</f>
        <v/>
      </c>
      <c r="L174" s="28">
        <f>IF(I174="","",I174/$C$5*(1+$C$8)+$E174*(1+$C$7)*$C$6)</f>
        <v/>
      </c>
      <c r="M174" s="29">
        <f>IF(J174="","",ROUND(J174*(1+$C$9),2))</f>
        <v/>
      </c>
      <c r="N174" s="29">
        <f>IF(K174="","",ROUND(K174*(1+$C$9),2))</f>
        <v/>
      </c>
      <c r="O174" s="29">
        <f>IF(L174="","",ROUND(L174*(1+$C$9),2))</f>
        <v/>
      </c>
      <c r="P174" s="30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  <c r="R174" s="31" t="n"/>
      <c r="S174" s="8" t="n"/>
      <c r="T174" s="29">
        <f>IF($R174="","",ROUND($R174*(1-N($S174)),2))</f>
        <v/>
      </c>
      <c r="U174" s="32">
        <f>IF(OR($T174="",$T174=0,$J174=""),"",($T174-$J174)/$T174)</f>
        <v/>
      </c>
      <c r="V174" s="32">
        <f>IF(OR($T174="",$T174=0,$K174=""),"",($T174-$K174)/$T174)</f>
        <v/>
      </c>
    </row>
    <row r="175">
      <c r="A175" s="20" t="inlineStr">
        <is>
          <t>SWR09-34</t>
        </is>
      </c>
      <c r="B175" s="21">
        <f>IFERROR(INDEX(Conversion!$C$2:$C$500,MATCH($A175,Conversion!$B$2:$B$500,0)),"NOT ASSIGNED")</f>
        <v/>
      </c>
      <c r="C175" s="22" t="inlineStr">
        <is>
          <t>St.st. ball bearing swivel, 1/2" male x 3/4" female, 9mm bore, flat seals</t>
        </is>
      </c>
      <c r="D175" s="23" t="inlineStr">
        <is>
          <t>Ball bearing swivel, 1/2" M x 3/4" F, 9 mm bore, stainless steel 316</t>
        </is>
      </c>
      <c r="E175" s="33" t="n">
        <v>0.1</v>
      </c>
      <c r="F175" s="25" t="inlineStr">
        <is>
          <t>ESTIMATE - catalogue gives dimensions only (p.68-71)</t>
        </is>
      </c>
      <c r="G175" s="26" t="n">
        <v>20.382208</v>
      </c>
      <c r="H175" s="26" t="n">
        <v>17.834432</v>
      </c>
      <c r="I175" s="26" t="n">
        <v>16.560544</v>
      </c>
      <c r="J175" s="28">
        <f>IF(G175="","",G175/$C$5*(1+$C$8)+$E175*(1+$C$7)*$C$6)</f>
        <v/>
      </c>
      <c r="K175" s="28">
        <f>IF(H175="","",H175/$C$5*(1+$C$8)+$E175*(1+$C$7)*$C$6)</f>
        <v/>
      </c>
      <c r="L175" s="28">
        <f>IF(I175="","",I175/$C$5*(1+$C$8)+$E175*(1+$C$7)*$C$6)</f>
        <v/>
      </c>
      <c r="M175" s="29">
        <f>IF(J175="","",ROUND(J175*(1+$C$9),2))</f>
        <v/>
      </c>
      <c r="N175" s="29">
        <f>IF(K175="","",ROUND(K175*(1+$C$9),2))</f>
        <v/>
      </c>
      <c r="O175" s="29">
        <f>IF(L175="","",ROUND(L175*(1+$C$9),2))</f>
        <v/>
      </c>
      <c r="P175" s="30">
        <f>TRIM(IF($B175="NOT ASSIGNED","No NW part no. ","")&amp;IFERROR(IF(INDEX(Conversion!$J$2:$J$500,MATCH($A175,Conversion!$B$2:$B$500,0))="Needs review","Conversion table: needs review. ",""),"")&amp;IF(LEFT($F175,8)="ESTIMATE","Weight estimated. ","")&amp;"")</f>
        <v/>
      </c>
      <c r="R175" s="31" t="n"/>
      <c r="S175" s="8" t="n"/>
      <c r="T175" s="29">
        <f>IF($R175="","",ROUND($R175*(1-N($S175)),2))</f>
        <v/>
      </c>
      <c r="U175" s="32">
        <f>IF(OR($T175="",$T175=0,$J175=""),"",($T175-$J175)/$T175)</f>
        <v/>
      </c>
      <c r="V175" s="32">
        <f>IF(OR($T175="",$T175=0,$K175=""),"",($T175-$K175)/$T175)</f>
        <v/>
      </c>
    </row>
    <row r="176">
      <c r="A176" s="20" t="inlineStr">
        <is>
          <t>SWR14-34</t>
        </is>
      </c>
      <c r="B176" s="21">
        <f>IFERROR(INDEX(Conversion!$C$2:$C$500,MATCH($A176,Conversion!$B$2:$B$500,0)),"NOT ASSIGNED")</f>
        <v/>
      </c>
      <c r="C176" s="22" t="inlineStr">
        <is>
          <t>St.st. ball bearing swivel, 1/2" male x 3/4" female, 14mm bore, flat seals</t>
        </is>
      </c>
      <c r="D176" s="23" t="inlineStr">
        <is>
          <t>Ball bearing swivel, 1/2" M x 3/4" F, 14 mm bore, stainless steel 316</t>
        </is>
      </c>
      <c r="E176" s="33" t="n">
        <v>0.13</v>
      </c>
      <c r="F176" s="25" t="inlineStr">
        <is>
          <t>ESTIMATE - catalogue gives dimensions only (p.68-71)</t>
        </is>
      </c>
      <c r="G176" s="26" t="n">
        <v>21.498928</v>
      </c>
      <c r="H176" s="26" t="n">
        <v>18.811562</v>
      </c>
      <c r="I176" s="26" t="n">
        <v>17.467879</v>
      </c>
      <c r="J176" s="28">
        <f>IF(G176="","",G176/$C$5*(1+$C$8)+$E176*(1+$C$7)*$C$6)</f>
        <v/>
      </c>
      <c r="K176" s="28">
        <f>IF(H176="","",H176/$C$5*(1+$C$8)+$E176*(1+$C$7)*$C$6)</f>
        <v/>
      </c>
      <c r="L176" s="28">
        <f>IF(I176="","",I176/$C$5*(1+$C$8)+$E176*(1+$C$7)*$C$6)</f>
        <v/>
      </c>
      <c r="M176" s="29">
        <f>IF(J176="","",ROUND(J176*(1+$C$9),2))</f>
        <v/>
      </c>
      <c r="N176" s="29">
        <f>IF(K176="","",ROUND(K176*(1+$C$9),2))</f>
        <v/>
      </c>
      <c r="O176" s="29">
        <f>IF(L176="","",ROUND(L176*(1+$C$9),2))</f>
        <v/>
      </c>
      <c r="P176" s="30">
        <f>TRIM(IF($B176="NOT ASSIGNED","No NW part no. ","")&amp;IFERROR(IF(INDEX(Conversion!$J$2:$J$500,MATCH($A176,Conversion!$B$2:$B$500,0))="Needs review","Conversion table: needs review. ",""),"")&amp;IF(LEFT($F176,8)="ESTIMATE","Weight estimated. ","")&amp;"")</f>
        <v/>
      </c>
      <c r="R176" s="31" t="n"/>
      <c r="S176" s="8" t="n"/>
      <c r="T176" s="29">
        <f>IF($R176="","",ROUND($R176*(1-N($S176)),2))</f>
        <v/>
      </c>
      <c r="U176" s="32">
        <f>IF(OR($T176="",$T176=0,$J176=""),"",($T176-$J176)/$T176)</f>
        <v/>
      </c>
      <c r="V176" s="32">
        <f>IF(OR($T176="",$T176=0,$K176=""),"",($T176-$K176)/$T176)</f>
        <v/>
      </c>
    </row>
    <row r="177">
      <c r="A177" s="20" t="inlineStr">
        <is>
          <t>SWR14-34X34</t>
        </is>
      </c>
      <c r="B177" s="21">
        <f>IFERROR(INDEX(Conversion!$C$2:$C$500,MATCH($A177,Conversion!$B$2:$B$500,0)),"NOT ASSIGNED")</f>
        <v/>
      </c>
      <c r="C177" s="22" t="inlineStr">
        <is>
          <t>St. st. ball bearing swivel, 3/4" male x 3/4" female, 14mm bore, flat seals</t>
        </is>
      </c>
      <c r="D177" s="23" t="inlineStr">
        <is>
          <t>Ball bearing swivel, 3/4" M x 3/4" F, 14 mm bore, stainless steel 316</t>
        </is>
      </c>
      <c r="E177" s="33" t="n">
        <v>0.15</v>
      </c>
      <c r="F177" s="25" t="inlineStr">
        <is>
          <t>ESTIMATE - catalogue gives dimensions only (p.68-71)</t>
        </is>
      </c>
      <c r="G177" s="26" t="n">
        <v>24.948352</v>
      </c>
      <c r="H177" s="26" t="n">
        <v>21.829808</v>
      </c>
      <c r="I177" s="26" t="n">
        <v>20.270536</v>
      </c>
      <c r="J177" s="28">
        <f>IF(G177="","",G177/$C$5*(1+$C$8)+$E177*(1+$C$7)*$C$6)</f>
        <v/>
      </c>
      <c r="K177" s="28">
        <f>IF(H177="","",H177/$C$5*(1+$C$8)+$E177*(1+$C$7)*$C$6)</f>
        <v/>
      </c>
      <c r="L177" s="28">
        <f>IF(I177="","",I177/$C$5*(1+$C$8)+$E177*(1+$C$7)*$C$6)</f>
        <v/>
      </c>
      <c r="M177" s="29">
        <f>IF(J177="","",ROUND(J177*(1+$C$9),2))</f>
        <v/>
      </c>
      <c r="N177" s="29">
        <f>IF(K177="","",ROUND(K177*(1+$C$9),2))</f>
        <v/>
      </c>
      <c r="O177" s="29">
        <f>IF(L177="","",ROUND(L177*(1+$C$9),2))</f>
        <v/>
      </c>
      <c r="P177" s="30">
        <f>TRIM(IF($B177="NOT ASSIGNED","No NW part no. ","")&amp;IFERROR(IF(INDEX(Conversion!$J$2:$J$500,MATCH($A177,Conversion!$B$2:$B$500,0))="Needs review","Conversion table: needs review. ",""),"")&amp;IF(LEFT($F177,8)="ESTIMATE","Weight estimated. ","")&amp;"")</f>
        <v/>
      </c>
      <c r="R177" s="31" t="n"/>
      <c r="S177" s="8" t="n"/>
      <c r="T177" s="29">
        <f>IF($R177="","",ROUND($R177*(1-N($S177)),2))</f>
        <v/>
      </c>
      <c r="U177" s="32">
        <f>IF(OR($T177="",$T177=0,$J177=""),"",($T177-$J177)/$T177)</f>
        <v/>
      </c>
      <c r="V177" s="32">
        <f>IF(OR($T177="",$T177=0,$K177=""),"",($T177-$K177)/$T177)</f>
        <v/>
      </c>
    </row>
    <row r="178">
      <c r="A178" s="20" t="inlineStr">
        <is>
          <t>SWR18-1X1</t>
        </is>
      </c>
      <c r="B178" s="21">
        <f>IFERROR(INDEX(Conversion!$C$2:$C$500,MATCH($A178,Conversion!$B$2:$B$500,0)),"NOT ASSIGNED")</f>
        <v/>
      </c>
      <c r="C178" s="22" t="inlineStr">
        <is>
          <t>St.st. ball bearing swivel, 1" male x 1" female, 18mm bore, flat seals</t>
        </is>
      </c>
      <c r="D178" s="23" t="inlineStr">
        <is>
          <t>Ball bearing swivel, 1" M x 1" F, 18 mm bore, stainless steel 316</t>
        </is>
      </c>
      <c r="E178" s="33" t="n">
        <v>0.25</v>
      </c>
      <c r="F178" s="25" t="inlineStr">
        <is>
          <t>ESTIMATE - catalogue gives dimensions only (p.68-71)</t>
        </is>
      </c>
      <c r="G178" s="26" t="n">
        <v>32.451056</v>
      </c>
      <c r="H178" s="26" t="n">
        <v>28.394674</v>
      </c>
      <c r="I178" s="26" t="n">
        <v>26.366483</v>
      </c>
      <c r="J178" s="28">
        <f>IF(G178="","",G178/$C$5*(1+$C$8)+$E178*(1+$C$7)*$C$6)</f>
        <v/>
      </c>
      <c r="K178" s="28">
        <f>IF(H178="","",H178/$C$5*(1+$C$8)+$E178*(1+$C$7)*$C$6)</f>
        <v/>
      </c>
      <c r="L178" s="28">
        <f>IF(I178="","",I178/$C$5*(1+$C$8)+$E178*(1+$C$7)*$C$6)</f>
        <v/>
      </c>
      <c r="M178" s="29">
        <f>IF(J178="","",ROUND(J178*(1+$C$9),2))</f>
        <v/>
      </c>
      <c r="N178" s="29">
        <f>IF(K178="","",ROUND(K178*(1+$C$9),2))</f>
        <v/>
      </c>
      <c r="O178" s="29">
        <f>IF(L178="","",ROUND(L178*(1+$C$9),2))</f>
        <v/>
      </c>
      <c r="P178" s="30">
        <f>TRIM(IF($B178="NOT ASSIGNED","No NW part no. ","")&amp;IFERROR(IF(INDEX(Conversion!$J$2:$J$500,MATCH($A178,Conversion!$B$2:$B$500,0))="Needs review","Conversion table: needs review. ",""),"")&amp;IF(LEFT($F178,8)="ESTIMATE","Weight estimated. ","")&amp;"")</f>
        <v/>
      </c>
      <c r="R178" s="31" t="n"/>
      <c r="S178" s="8" t="n"/>
      <c r="T178" s="29">
        <f>IF($R178="","",ROUND($R178*(1-N($S178)),2))</f>
        <v/>
      </c>
      <c r="U178" s="32">
        <f>IF(OR($T178="",$T178=0,$J178=""),"",($T178-$J178)/$T178)</f>
        <v/>
      </c>
      <c r="V178" s="32">
        <f>IF(OR($T178="",$T178=0,$K178=""),"",($T178-$K178)/$T178)</f>
        <v/>
      </c>
    </row>
    <row r="179">
      <c r="A179" s="20" t="inlineStr">
        <is>
          <t>SWR09-12Mx12M</t>
        </is>
      </c>
      <c r="B179" s="21">
        <f>IFERROR(INDEX(Conversion!$C$2:$C$500,MATCH($A179,Conversion!$B$2:$B$500,0)),"NOT ASSIGNED")</f>
        <v/>
      </c>
      <c r="C179" s="22" t="inlineStr">
        <is>
          <t>St.st. ball bearing swivel, 1/2" male x 1/2" male, 9mm bore</t>
        </is>
      </c>
      <c r="D179" s="23" t="inlineStr">
        <is>
          <t>Ball bearing swivel, 1/2" M x 1/2" M, 9 mm bore, stainless steel 316</t>
        </is>
      </c>
      <c r="E179" s="33" t="n">
        <v>0.09</v>
      </c>
      <c r="F179" s="25" t="inlineStr">
        <is>
          <t>ESTIMATE - catalogue gives dimensions only (p.68-71)</t>
        </is>
      </c>
      <c r="G179" s="26" t="n">
        <v>20.746176</v>
      </c>
      <c r="H179" s="26" t="n">
        <v>18.152904</v>
      </c>
      <c r="I179" s="26" t="n">
        <v>16.856268</v>
      </c>
      <c r="J179" s="28">
        <f>IF(G179="","",G179/$C$5*(1+$C$8)+$E179*(1+$C$7)*$C$6)</f>
        <v/>
      </c>
      <c r="K179" s="28">
        <f>IF(H179="","",H179/$C$5*(1+$C$8)+$E179*(1+$C$7)*$C$6)</f>
        <v/>
      </c>
      <c r="L179" s="28">
        <f>IF(I179="","",I179/$C$5*(1+$C$8)+$E179*(1+$C$7)*$C$6)</f>
        <v/>
      </c>
      <c r="M179" s="29">
        <f>IF(J179="","",ROUND(J179*(1+$C$9),2))</f>
        <v/>
      </c>
      <c r="N179" s="29">
        <f>IF(K179="","",ROUND(K179*(1+$C$9),2))</f>
        <v/>
      </c>
      <c r="O179" s="29">
        <f>IF(L179="","",ROUND(L179*(1+$C$9),2))</f>
        <v/>
      </c>
      <c r="P179" s="30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  <c r="R179" s="31" t="n"/>
      <c r="S179" s="8" t="n"/>
      <c r="T179" s="29">
        <f>IF($R179="","",ROUND($R179*(1-N($S179)),2))</f>
        <v/>
      </c>
      <c r="U179" s="32">
        <f>IF(OR($T179="",$T179=0,$J179=""),"",($T179-$J179)/$T179)</f>
        <v/>
      </c>
      <c r="V179" s="32">
        <f>IF(OR($T179="",$T179=0,$K179=""),"",($T179-$K179)/$T179)</f>
        <v/>
      </c>
    </row>
    <row r="180">
      <c r="A180" s="20" t="inlineStr">
        <is>
          <t>SWR09-12MX34M</t>
        </is>
      </c>
      <c r="B180" s="21">
        <f>IFERROR(INDEX(Conversion!$C$2:$C$500,MATCH($A180,Conversion!$B$2:$B$500,0)),"NOT ASSIGNED")</f>
        <v/>
      </c>
      <c r="C180" s="22" t="inlineStr">
        <is>
          <t>St.st. ball bearing swivel, 1/2" male x 3/4" male, 9mm bore, flat seal</t>
        </is>
      </c>
      <c r="D180" s="23" t="inlineStr">
        <is>
          <t>Ball bearing swivel, 1/2" M x 3/4" M, 9 mm bore, stainless steel 316</t>
        </is>
      </c>
      <c r="E180" s="33" t="n">
        <v>0.1</v>
      </c>
      <c r="F180" s="25" t="inlineStr">
        <is>
          <t>ESTIMATE - catalogue gives dimensions only (p.68-71)</t>
        </is>
      </c>
      <c r="G180" s="26" t="n">
        <v>20.746176</v>
      </c>
      <c r="H180" s="26" t="n">
        <v>18.152904</v>
      </c>
      <c r="I180" s="26" t="n">
        <v>16.856268</v>
      </c>
      <c r="J180" s="28">
        <f>IF(G180="","",G180/$C$5*(1+$C$8)+$E180*(1+$C$7)*$C$6)</f>
        <v/>
      </c>
      <c r="K180" s="28">
        <f>IF(H180="","",H180/$C$5*(1+$C$8)+$E180*(1+$C$7)*$C$6)</f>
        <v/>
      </c>
      <c r="L180" s="28">
        <f>IF(I180="","",I180/$C$5*(1+$C$8)+$E180*(1+$C$7)*$C$6)</f>
        <v/>
      </c>
      <c r="M180" s="29">
        <f>IF(J180="","",ROUND(J180*(1+$C$9),2))</f>
        <v/>
      </c>
      <c r="N180" s="29">
        <f>IF(K180="","",ROUND(K180*(1+$C$9),2))</f>
        <v/>
      </c>
      <c r="O180" s="29">
        <f>IF(L180="","",ROUND(L180*(1+$C$9),2))</f>
        <v/>
      </c>
      <c r="P180" s="30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  <c r="R180" s="31" t="n"/>
      <c r="S180" s="8" t="n"/>
      <c r="T180" s="29">
        <f>IF($R180="","",ROUND($R180*(1-N($S180)),2))</f>
        <v/>
      </c>
      <c r="U180" s="32">
        <f>IF(OR($T180="",$T180=0,$J180=""),"",($T180-$J180)/$T180)</f>
        <v/>
      </c>
      <c r="V180" s="32">
        <f>IF(OR($T180="",$T180=0,$K180=""),"",($T180-$K180)/$T180)</f>
        <v/>
      </c>
    </row>
    <row r="181"/>
    <row r="182">
      <c r="A182" s="14" t="inlineStr">
        <is>
          <t>Swiveling hose tails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R182" s="15" t="n"/>
      <c r="S182" s="15" t="n"/>
      <c r="T182" s="15" t="n"/>
      <c r="U182" s="15" t="n"/>
      <c r="V182" s="15" t="n"/>
    </row>
    <row r="183"/>
    <row r="184">
      <c r="A184" s="16" t="inlineStr">
        <is>
          <t>Qty break</t>
        </is>
      </c>
      <c r="B184" s="17" t="n"/>
      <c r="C184" s="17" t="n"/>
      <c r="D184" s="17" t="n"/>
      <c r="E184" s="17" t="n"/>
      <c r="F184" s="17" t="n"/>
      <c r="G184" s="18" t="inlineStr">
        <is>
          <t>&lt; 10 pcs</t>
        </is>
      </c>
      <c r="H184" s="18" t="inlineStr">
        <is>
          <t>≥ 10 pcs</t>
        </is>
      </c>
      <c r="I184" s="18" t="inlineStr">
        <is>
          <t>≥ 50 pcs</t>
        </is>
      </c>
      <c r="J184" s="18" t="inlineStr">
        <is>
          <t>&lt; 10 pcs</t>
        </is>
      </c>
      <c r="K184" s="18" t="inlineStr">
        <is>
          <t>≥ 10 pcs</t>
        </is>
      </c>
      <c r="L184" s="18" t="inlineStr">
        <is>
          <t>≥ 50 pcs</t>
        </is>
      </c>
      <c r="M184" s="18" t="inlineStr">
        <is>
          <t>&lt; 10 pcs</t>
        </is>
      </c>
      <c r="N184" s="18" t="inlineStr">
        <is>
          <t>≥ 10 pcs</t>
        </is>
      </c>
      <c r="O184" s="18" t="inlineStr">
        <is>
          <t>≥ 50 pcs</t>
        </is>
      </c>
      <c r="P184" s="17" t="n"/>
      <c r="R184" s="17" t="n"/>
      <c r="S184" s="17" t="n"/>
      <c r="T184" s="17" t="n"/>
      <c r="U184" s="19" t="inlineStr">
        <is>
          <t>&lt; 10 pcs</t>
        </is>
      </c>
      <c r="V184" s="19" t="inlineStr">
        <is>
          <t>≥ 10 pcs</t>
        </is>
      </c>
    </row>
    <row r="185">
      <c r="A185" s="34" t="inlineStr">
        <is>
          <t>Up to 24 bar</t>
        </is>
      </c>
      <c r="B185" s="35" t="n"/>
      <c r="C185" s="35" t="n"/>
      <c r="D185" s="35" t="n"/>
      <c r="E185" s="35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R185" s="35" t="n"/>
      <c r="S185" s="35" t="n"/>
      <c r="T185" s="35" t="n"/>
      <c r="U185" s="35" t="n"/>
      <c r="V185" s="35" t="n"/>
    </row>
    <row r="186"/>
    <row r="187">
      <c r="A187" s="20" t="inlineStr">
        <is>
          <t>SWIFM1/2</t>
        </is>
      </c>
      <c r="B187" s="21">
        <f>IFERROR(INDEX(Conversion!$C$2:$C$500,MATCH($A187,Conversion!$B$2:$B$500,0)),"NOT ASSIGNED")</f>
        <v/>
      </c>
      <c r="C187" s="22" t="inlineStr">
        <is>
          <t>Brass swivelling hose tail 13mm x 1/2" male</t>
        </is>
      </c>
      <c r="D187" s="23" t="inlineStr">
        <is>
          <t>Swivel hose tail, 13 mm x 1/2" M, brass</t>
        </is>
      </c>
      <c r="E187" s="33" t="n">
        <v>0.06</v>
      </c>
      <c r="F187" s="25" t="inlineStr">
        <is>
          <t>ESTIMATE - catalogue gives dimensions only (p.68-71)</t>
        </is>
      </c>
      <c r="G187" s="26" t="n">
        <v>4.061552</v>
      </c>
      <c r="H187" s="26" t="n">
        <v>3.553858</v>
      </c>
      <c r="I187" s="26" t="n">
        <v>3.300011</v>
      </c>
      <c r="J187" s="28">
        <f>IF(G187="","",G187/$C$5*(1+$C$8)+$E187*(1+$C$7)*$C$6)</f>
        <v/>
      </c>
      <c r="K187" s="28">
        <f>IF(H187="","",H187/$C$5*(1+$C$8)+$E187*(1+$C$7)*$C$6)</f>
        <v/>
      </c>
      <c r="L187" s="28">
        <f>IF(I187="","",I187/$C$5*(1+$C$8)+$E187*(1+$C$7)*$C$6)</f>
        <v/>
      </c>
      <c r="M187" s="29">
        <f>IF(J187="","",ROUND(J187*(1+$C$9),2))</f>
        <v/>
      </c>
      <c r="N187" s="29">
        <f>IF(K187="","",ROUND(K187*(1+$C$9),2))</f>
        <v/>
      </c>
      <c r="O187" s="29">
        <f>IF(L187="","",ROUND(L187*(1+$C$9),2))</f>
        <v/>
      </c>
      <c r="P187" s="30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  <c r="R187" s="31" t="n"/>
      <c r="S187" s="8" t="n"/>
      <c r="T187" s="29">
        <f>IF($R187="","",ROUND($R187*(1-N($S187)),2))</f>
        <v/>
      </c>
      <c r="U187" s="32">
        <f>IF(OR($T187="",$T187=0,$J187=""),"",($T187-$J187)/$T187)</f>
        <v/>
      </c>
      <c r="V187" s="32">
        <f>IF(OR($T187="",$T187=0,$K187=""),"",($T187-$K187)/$T187)</f>
        <v/>
      </c>
    </row>
    <row r="188">
      <c r="A188" s="20" t="inlineStr">
        <is>
          <t>SWIFR1/2</t>
        </is>
      </c>
      <c r="B188" s="21">
        <f>IFERROR(INDEX(Conversion!$C$2:$C$500,MATCH($A188,Conversion!$B$2:$B$500,0)),"NOT ASSIGNED")</f>
        <v/>
      </c>
      <c r="C188" s="22" t="inlineStr">
        <is>
          <t>Stainless steel swivelling hose tail 13mm x 1/2" male</t>
        </is>
      </c>
      <c r="D188" s="23" t="inlineStr">
        <is>
          <t>Swivel hose tail, 13 mm x 1/2" M, stainless steel 316</t>
        </is>
      </c>
      <c r="E188" s="33" t="n">
        <v>0.06</v>
      </c>
      <c r="F188" s="25" t="inlineStr">
        <is>
          <t>ESTIMATE - catalogue gives dimensions only (p.68-71)</t>
        </is>
      </c>
      <c r="G188" s="26" t="n">
        <v>12.176384</v>
      </c>
      <c r="H188" s="26" t="n">
        <v>10.654336</v>
      </c>
      <c r="I188" s="26" t="n">
        <v>9.893312</v>
      </c>
      <c r="J188" s="28">
        <f>IF(G188="","",G188/$C$5*(1+$C$8)+$E188*(1+$C$7)*$C$6)</f>
        <v/>
      </c>
      <c r="K188" s="28">
        <f>IF(H188="","",H188/$C$5*(1+$C$8)+$E188*(1+$C$7)*$C$6)</f>
        <v/>
      </c>
      <c r="L188" s="28">
        <f>IF(I188="","",I188/$C$5*(1+$C$8)+$E188*(1+$C$7)*$C$6)</f>
        <v/>
      </c>
      <c r="M188" s="29">
        <f>IF(J188="","",ROUND(J188*(1+$C$9),2))</f>
        <v/>
      </c>
      <c r="N188" s="29">
        <f>IF(K188="","",ROUND(K188*(1+$C$9),2))</f>
        <v/>
      </c>
      <c r="O188" s="29">
        <f>IF(L188="","",ROUND(L188*(1+$C$9),2))</f>
        <v/>
      </c>
      <c r="P188" s="30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  <c r="R188" s="31" t="n"/>
      <c r="S188" s="8" t="n"/>
      <c r="T188" s="29">
        <f>IF($R188="","",ROUND($R188*(1-N($S188)),2))</f>
        <v/>
      </c>
      <c r="U188" s="32">
        <f>IF(OR($T188="",$T188=0,$J188=""),"",($T188-$J188)/$T188)</f>
        <v/>
      </c>
      <c r="V188" s="32">
        <f>IF(OR($T188="",$T188=0,$K188=""),"",($T188-$K188)/$T188)</f>
        <v/>
      </c>
    </row>
    <row r="189"/>
    <row r="190">
      <c r="A190" s="34" t="inlineStr">
        <is>
          <t>Up to 40 bar with full bore</t>
        </is>
      </c>
      <c r="B190" s="35" t="n"/>
      <c r="C190" s="35" t="n"/>
      <c r="D190" s="35" t="n"/>
      <c r="E190" s="35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R190" s="35" t="n"/>
      <c r="S190" s="35" t="n"/>
      <c r="T190" s="35" t="n"/>
      <c r="U190" s="35" t="n"/>
      <c r="V190" s="35" t="n"/>
    </row>
    <row r="191"/>
    <row r="192">
      <c r="A192" s="20" t="inlineStr">
        <is>
          <t>SWIFB10</t>
        </is>
      </c>
      <c r="B192" s="21">
        <f>IFERROR(INDEX(Conversion!$C$2:$C$500,MATCH($A192,Conversion!$B$2:$B$500,0)),"NOT ASSIGNED")</f>
        <v/>
      </c>
      <c r="C192" s="22" t="inlineStr">
        <is>
          <t>St.st. full bore swivelling hose tail, 10mm x 1/2" BSPT male</t>
        </is>
      </c>
      <c r="D192" s="23" t="inlineStr">
        <is>
          <t>Swivel hose tail, full bore, 10 mm x 1/2" BSPT M, stainless steel 316</t>
        </is>
      </c>
      <c r="E192" s="33" t="n">
        <v>0.08</v>
      </c>
      <c r="F192" s="25" t="inlineStr">
        <is>
          <t>ESTIMATE - catalogue gives dimensions only (p.68-71)</t>
        </is>
      </c>
      <c r="G192" s="26" t="n">
        <v>16.436464</v>
      </c>
      <c r="H192" s="26" t="n">
        <v>14.381906</v>
      </c>
      <c r="I192" s="26" t="n">
        <v>13.354627</v>
      </c>
      <c r="J192" s="28">
        <f>IF(G192="","",G192/$C$5*(1+$C$8)+$E192*(1+$C$7)*$C$6)</f>
        <v/>
      </c>
      <c r="K192" s="28">
        <f>IF(H192="","",H192/$C$5*(1+$C$8)+$E192*(1+$C$7)*$C$6)</f>
        <v/>
      </c>
      <c r="L192" s="28">
        <f>IF(I192="","",I192/$C$5*(1+$C$8)+$E192*(1+$C$7)*$C$6)</f>
        <v/>
      </c>
      <c r="M192" s="29">
        <f>IF(J192="","",ROUND(J192*(1+$C$9),2))</f>
        <v/>
      </c>
      <c r="N192" s="29">
        <f>IF(K192="","",ROUND(K192*(1+$C$9),2))</f>
        <v/>
      </c>
      <c r="O192" s="29">
        <f>IF(L192="","",ROUND(L192*(1+$C$9),2))</f>
        <v/>
      </c>
      <c r="P192" s="30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  <c r="R192" s="31" t="n"/>
      <c r="S192" s="8" t="n"/>
      <c r="T192" s="29">
        <f>IF($R192="","",ROUND($R192*(1-N($S192)),2))</f>
        <v/>
      </c>
      <c r="U192" s="32">
        <f>IF(OR($T192="",$T192=0,$J192=""),"",($T192-$J192)/$T192)</f>
        <v/>
      </c>
      <c r="V192" s="32">
        <f>IF(OR($T192="",$T192=0,$K192=""),"",($T192-$K192)/$T192)</f>
        <v/>
      </c>
    </row>
    <row r="193">
      <c r="A193" s="20" t="inlineStr">
        <is>
          <t>SWIFB13-C17</t>
        </is>
      </c>
      <c r="B193" s="21">
        <f>IFERROR(INDEX(Conversion!$C$2:$C$500,MATCH($A193,Conversion!$B$2:$B$500,0)),"NOT ASSIGNED")</f>
        <v/>
      </c>
      <c r="C193" s="22" t="inlineStr">
        <is>
          <t>St.st. full bore swivelling hose tail, 13mm x 1/2" male, 17mm collar</t>
        </is>
      </c>
      <c r="D193" s="23" t="inlineStr">
        <is>
          <t>Swivel hose tail, full bore, 13 mm x 1/2" M, 17 mm collar, stainless steel 316</t>
        </is>
      </c>
      <c r="E193" s="33" t="n">
        <v>0.09</v>
      </c>
      <c r="F193" s="25" t="inlineStr">
        <is>
          <t>ESTIMATE - catalogue gives dimensions only (p.68-71)</t>
        </is>
      </c>
      <c r="G193" s="26" t="n">
        <v>18.967696</v>
      </c>
      <c r="H193" s="26" t="n">
        <v>16.596734</v>
      </c>
      <c r="I193" s="26" t="n">
        <v>15.411253</v>
      </c>
      <c r="J193" s="28">
        <f>IF(G193="","",G193/$C$5*(1+$C$8)+$E193*(1+$C$7)*$C$6)</f>
        <v/>
      </c>
      <c r="K193" s="28">
        <f>IF(H193="","",H193/$C$5*(1+$C$8)+$E193*(1+$C$7)*$C$6)</f>
        <v/>
      </c>
      <c r="L193" s="28">
        <f>IF(I193="","",I193/$C$5*(1+$C$8)+$E193*(1+$C$7)*$C$6)</f>
        <v/>
      </c>
      <c r="M193" s="29">
        <f>IF(J193="","",ROUND(J193*(1+$C$9),2))</f>
        <v/>
      </c>
      <c r="N193" s="29">
        <f>IF(K193="","",ROUND(K193*(1+$C$9),2))</f>
        <v/>
      </c>
      <c r="O193" s="29">
        <f>IF(L193="","",ROUND(L193*(1+$C$9),2))</f>
        <v/>
      </c>
      <c r="P193" s="30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  <c r="R193" s="31" t="n"/>
      <c r="S193" s="8" t="n"/>
      <c r="T193" s="29">
        <f>IF($R193="","",ROUND($R193*(1-N($S193)),2))</f>
        <v/>
      </c>
      <c r="U193" s="32">
        <f>IF(OR($T193="",$T193=0,$J193=""),"",($T193-$J193)/$T193)</f>
        <v/>
      </c>
      <c r="V193" s="32">
        <f>IF(OR($T193="",$T193=0,$K193=""),"",($T193-$K193)/$T193)</f>
        <v/>
      </c>
    </row>
    <row r="194">
      <c r="A194" s="20" t="inlineStr">
        <is>
          <t>SWIFB13-C17-SP</t>
        </is>
      </c>
      <c r="B194" s="21">
        <f>IFERROR(INDEX(Conversion!$C$2:$C$500,MATCH($A194,Conversion!$B$2:$B$500,0)),"NOT ASSIGNED")</f>
        <v/>
      </c>
      <c r="C194" s="22" t="inlineStr">
        <is>
          <t>St.st. full bore swivelling hose tail, 13mm x 1/2" male, 17mm collar, inside hose protection spring.</t>
        </is>
      </c>
      <c r="D194" s="23" t="inlineStr">
        <is>
          <t>Swivel hose tail, full bore, 13 mm x 1/2" M, 17 mm collar, w/ anti-kink spring, stainless steel 316</t>
        </is>
      </c>
      <c r="E194" s="33" t="n">
        <v>0.13</v>
      </c>
      <c r="F194" s="25" t="inlineStr">
        <is>
          <t>ESTIMATE - catalogue gives dimensions only (p.68-71)</t>
        </is>
      </c>
      <c r="G194" s="26" t="n">
        <v>24.336224</v>
      </c>
      <c r="H194" s="26" t="n">
        <v>21.294196</v>
      </c>
      <c r="I194" s="26" t="n">
        <v>19.773182</v>
      </c>
      <c r="J194" s="28">
        <f>IF(G194="","",G194/$C$5*(1+$C$8)+$E194*(1+$C$7)*$C$6)</f>
        <v/>
      </c>
      <c r="K194" s="28">
        <f>IF(H194="","",H194/$C$5*(1+$C$8)+$E194*(1+$C$7)*$C$6)</f>
        <v/>
      </c>
      <c r="L194" s="28">
        <f>IF(I194="","",I194/$C$5*(1+$C$8)+$E194*(1+$C$7)*$C$6)</f>
        <v/>
      </c>
      <c r="M194" s="29">
        <f>IF(J194="","",ROUND(J194*(1+$C$9),2))</f>
        <v/>
      </c>
      <c r="N194" s="29">
        <f>IF(K194="","",ROUND(K194*(1+$C$9),2))</f>
        <v/>
      </c>
      <c r="O194" s="29">
        <f>IF(L194="","",ROUND(L194*(1+$C$9),2))</f>
        <v/>
      </c>
      <c r="P194" s="30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  <c r="R194" s="31" t="n"/>
      <c r="S194" s="8" t="n"/>
      <c r="T194" s="29">
        <f>IF($R194="","",ROUND($R194*(1-N($S194)),2))</f>
        <v/>
      </c>
      <c r="U194" s="32">
        <f>IF(OR($T194="",$T194=0,$J194=""),"",($T194-$J194)/$T194)</f>
        <v/>
      </c>
      <c r="V194" s="32">
        <f>IF(OR($T194="",$T194=0,$K194=""),"",($T194-$K194)/$T194)</f>
        <v/>
      </c>
    </row>
    <row r="195">
      <c r="A195" s="20" t="inlineStr">
        <is>
          <t>SWIFB13-C20</t>
        </is>
      </c>
      <c r="B195" s="21">
        <f>IFERROR(INDEX(Conversion!$C$2:$C$500,MATCH($A195,Conversion!$B$2:$B$500,0)),"NOT ASSIGNED")</f>
        <v/>
      </c>
      <c r="C195" s="22" t="inlineStr">
        <is>
          <t>St.st. full bore swivelling hose tail, 13mm x 1/2" male, 20mm collar</t>
        </is>
      </c>
      <c r="D195" s="23" t="inlineStr">
        <is>
          <t>Swivel hose tail, full bore, 13 mm x 1/2" M, 20 mm collar, stainless steel 316</t>
        </is>
      </c>
      <c r="E195" s="33" t="n">
        <v>0.09</v>
      </c>
      <c r="F195" s="25" t="inlineStr">
        <is>
          <t>ESTIMATE - catalogue gives dimensions only (p.68-71)</t>
        </is>
      </c>
      <c r="G195" s="26" t="n">
        <v>18.967696</v>
      </c>
      <c r="H195" s="26" t="n">
        <v>16.596734</v>
      </c>
      <c r="I195" s="26" t="n">
        <v>15.411253</v>
      </c>
      <c r="J195" s="28">
        <f>IF(G195="","",G195/$C$5*(1+$C$8)+$E195*(1+$C$7)*$C$6)</f>
        <v/>
      </c>
      <c r="K195" s="28">
        <f>IF(H195="","",H195/$C$5*(1+$C$8)+$E195*(1+$C$7)*$C$6)</f>
        <v/>
      </c>
      <c r="L195" s="28">
        <f>IF(I195="","",I195/$C$5*(1+$C$8)+$E195*(1+$C$7)*$C$6)</f>
        <v/>
      </c>
      <c r="M195" s="29">
        <f>IF(J195="","",ROUND(J195*(1+$C$9),2))</f>
        <v/>
      </c>
      <c r="N195" s="29">
        <f>IF(K195="","",ROUND(K195*(1+$C$9),2))</f>
        <v/>
      </c>
      <c r="O195" s="29">
        <f>IF(L195="","",ROUND(L195*(1+$C$9),2))</f>
        <v/>
      </c>
      <c r="P195" s="30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  <c r="R195" s="31" t="n"/>
      <c r="S195" s="8" t="n"/>
      <c r="T195" s="29">
        <f>IF($R195="","",ROUND($R195*(1-N($S195)),2))</f>
        <v/>
      </c>
      <c r="U195" s="32">
        <f>IF(OR($T195="",$T195=0,$J195=""),"",($T195-$J195)/$T195)</f>
        <v/>
      </c>
      <c r="V195" s="32">
        <f>IF(OR($T195="",$T195=0,$K195=""),"",($T195-$K195)/$T195)</f>
        <v/>
      </c>
    </row>
    <row r="196">
      <c r="A196" s="20" t="inlineStr">
        <is>
          <t>SWIFB13-C20-SP</t>
        </is>
      </c>
      <c r="B196" s="21">
        <f>IFERROR(INDEX(Conversion!$C$2:$C$500,MATCH($A196,Conversion!$B$2:$B$500,0)),"NOT ASSIGNED")</f>
        <v/>
      </c>
      <c r="C196" s="22" t="inlineStr">
        <is>
          <t>St.st. full bore swivelling hose tail, 13mm x 1/2" male, 20mm collar, inside hose protection spring</t>
        </is>
      </c>
      <c r="D196" s="23" t="inlineStr">
        <is>
          <t>Swivel hose tail, full bore, 13 mm x 1/2" M, 20 mm collar, w/ anti-kink spring, stainless steel 316</t>
        </is>
      </c>
      <c r="E196" s="33" t="n">
        <v>0.13</v>
      </c>
      <c r="F196" s="25" t="inlineStr">
        <is>
          <t>ESTIMATE - catalogue gives dimensions only (p.68-71)</t>
        </is>
      </c>
      <c r="G196" s="26" t="n">
        <v>24.336224</v>
      </c>
      <c r="H196" s="26" t="n">
        <v>21.294196</v>
      </c>
      <c r="I196" s="26" t="n">
        <v>19.773182</v>
      </c>
      <c r="J196" s="28">
        <f>IF(G196="","",G196/$C$5*(1+$C$8)+$E196*(1+$C$7)*$C$6)</f>
        <v/>
      </c>
      <c r="K196" s="28">
        <f>IF(H196="","",H196/$C$5*(1+$C$8)+$E196*(1+$C$7)*$C$6)</f>
        <v/>
      </c>
      <c r="L196" s="28">
        <f>IF(I196="","",I196/$C$5*(1+$C$8)+$E196*(1+$C$7)*$C$6)</f>
        <v/>
      </c>
      <c r="M196" s="29">
        <f>IF(J196="","",ROUND(J196*(1+$C$9),2))</f>
        <v/>
      </c>
      <c r="N196" s="29">
        <f>IF(K196="","",ROUND(K196*(1+$C$9),2))</f>
        <v/>
      </c>
      <c r="O196" s="29">
        <f>IF(L196="","",ROUND(L196*(1+$C$9),2))</f>
        <v/>
      </c>
      <c r="P196" s="30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  <c r="R196" s="31" t="n"/>
      <c r="S196" s="8" t="n"/>
      <c r="T196" s="29">
        <f>IF($R196="","",ROUND($R196*(1-N($S196)),2))</f>
        <v/>
      </c>
      <c r="U196" s="32">
        <f>IF(OR($T196="",$T196=0,$J196=""),"",($T196-$J196)/$T196)</f>
        <v/>
      </c>
      <c r="V196" s="32">
        <f>IF(OR($T196="",$T196=0,$K196=""),"",($T196-$K196)/$T196)</f>
        <v/>
      </c>
    </row>
    <row r="197">
      <c r="A197" s="20" t="inlineStr">
        <is>
          <t>SWIFB16-C21</t>
        </is>
      </c>
      <c r="B197" s="21">
        <f>IFERROR(INDEX(Conversion!$C$2:$C$500,MATCH($A197,Conversion!$B$2:$B$500,0)),"NOT ASSIGNED")</f>
        <v/>
      </c>
      <c r="C197" s="22" t="inlineStr">
        <is>
          <t>St.st. full bore swivelling hose tail, 16mm x 1/2" male, 21mm collar</t>
        </is>
      </c>
      <c r="D197" s="23" t="inlineStr">
        <is>
          <t>Swivel hose tail, full bore, 16 mm x 1/2" M, 21 mm collar, stainless steel 316</t>
        </is>
      </c>
      <c r="E197" s="33" t="n">
        <v>0.1</v>
      </c>
      <c r="F197" s="25" t="inlineStr">
        <is>
          <t>ESTIMATE - catalogue gives dimensions only (p.68-71)</t>
        </is>
      </c>
      <c r="G197" s="26" t="n">
        <v>18.967696</v>
      </c>
      <c r="H197" s="26" t="n">
        <v>16.596734</v>
      </c>
      <c r="I197" s="26" t="n">
        <v>15.411253</v>
      </c>
      <c r="J197" s="28">
        <f>IF(G197="","",G197/$C$5*(1+$C$8)+$E197*(1+$C$7)*$C$6)</f>
        <v/>
      </c>
      <c r="K197" s="28">
        <f>IF(H197="","",H197/$C$5*(1+$C$8)+$E197*(1+$C$7)*$C$6)</f>
        <v/>
      </c>
      <c r="L197" s="28">
        <f>IF(I197="","",I197/$C$5*(1+$C$8)+$E197*(1+$C$7)*$C$6)</f>
        <v/>
      </c>
      <c r="M197" s="29">
        <f>IF(J197="","",ROUND(J197*(1+$C$9),2))</f>
        <v/>
      </c>
      <c r="N197" s="29">
        <f>IF(K197="","",ROUND(K197*(1+$C$9),2))</f>
        <v/>
      </c>
      <c r="O197" s="29">
        <f>IF(L197="","",ROUND(L197*(1+$C$9),2))</f>
        <v/>
      </c>
      <c r="P197" s="30">
        <f>TRIM(IF($B197="NOT ASSIGNED","No NW part no. ","")&amp;IFERROR(IF(INDEX(Conversion!$J$2:$J$500,MATCH($A197,Conversion!$B$2:$B$500,0))="Needs review","Conversion table: needs review. ",""),"")&amp;IF(LEFT($F197,8)="ESTIMATE","Weight estimated. ","")&amp;"")</f>
        <v/>
      </c>
      <c r="R197" s="31" t="n"/>
      <c r="S197" s="8" t="n"/>
      <c r="T197" s="29">
        <f>IF($R197="","",ROUND($R197*(1-N($S197)),2))</f>
        <v/>
      </c>
      <c r="U197" s="32">
        <f>IF(OR($T197="",$T197=0,$J197=""),"",($T197-$J197)/$T197)</f>
        <v/>
      </c>
      <c r="V197" s="32">
        <f>IF(OR($T197="",$T197=0,$K197=""),"",($T197-$K197)/$T197)</f>
        <v/>
      </c>
    </row>
    <row r="198">
      <c r="A198" s="20" t="inlineStr">
        <is>
          <t>SWIFB16-C21-SP</t>
        </is>
      </c>
      <c r="B198" s="21">
        <f>IFERROR(INDEX(Conversion!$C$2:$C$500,MATCH($A198,Conversion!$B$2:$B$500,0)),"NOT ASSIGNED")</f>
        <v/>
      </c>
      <c r="C198" s="22" t="inlineStr">
        <is>
          <t>St.st. full bore swivelling hose tail, 16mm x 1/2" male, 21mm collar, inside hose protection spring</t>
        </is>
      </c>
      <c r="D198" s="23" t="inlineStr">
        <is>
          <t>Swivel hose tail, full bore, 16 mm x 1/2" M, 21 mm collar, w/ anti-kink spring, stainless steel 316</t>
        </is>
      </c>
      <c r="E198" s="33" t="n">
        <v>0.14</v>
      </c>
      <c r="F198" s="25" t="inlineStr">
        <is>
          <t>ESTIMATE - catalogue gives dimensions only (p.68-71)</t>
        </is>
      </c>
      <c r="G198" s="26" t="n">
        <v>24.336224</v>
      </c>
      <c r="H198" s="26" t="n">
        <v>21.294196</v>
      </c>
      <c r="I198" s="26" t="n">
        <v>19.773182</v>
      </c>
      <c r="J198" s="28">
        <f>IF(G198="","",G198/$C$5*(1+$C$8)+$E198*(1+$C$7)*$C$6)</f>
        <v/>
      </c>
      <c r="K198" s="28">
        <f>IF(H198="","",H198/$C$5*(1+$C$8)+$E198*(1+$C$7)*$C$6)</f>
        <v/>
      </c>
      <c r="L198" s="28">
        <f>IF(I198="","",I198/$C$5*(1+$C$8)+$E198*(1+$C$7)*$C$6)</f>
        <v/>
      </c>
      <c r="M198" s="29">
        <f>IF(J198="","",ROUND(J198*(1+$C$9),2))</f>
        <v/>
      </c>
      <c r="N198" s="29">
        <f>IF(K198="","",ROUND(K198*(1+$C$9),2))</f>
        <v/>
      </c>
      <c r="O198" s="29">
        <f>IF(L198="","",ROUND(L198*(1+$C$9),2))</f>
        <v/>
      </c>
      <c r="P198" s="30">
        <f>TRIM(IF($B198="NOT ASSIGNED","No NW part no. ","")&amp;IFERROR(IF(INDEX(Conversion!$J$2:$J$500,MATCH($A198,Conversion!$B$2:$B$500,0))="Needs review","Conversion table: needs review. ",""),"")&amp;IF(LEFT($F198,8)="ESTIMATE","Weight estimated. ","")&amp;"")</f>
        <v/>
      </c>
      <c r="R198" s="31" t="n"/>
      <c r="S198" s="8" t="n"/>
      <c r="T198" s="29">
        <f>IF($R198="","",ROUND($R198*(1-N($S198)),2))</f>
        <v/>
      </c>
      <c r="U198" s="32">
        <f>IF(OR($T198="",$T198=0,$J198=""),"",($T198-$J198)/$T198)</f>
        <v/>
      </c>
      <c r="V198" s="32">
        <f>IF(OR($T198="",$T198=0,$K198=""),"",($T198-$K198)/$T198)</f>
        <v/>
      </c>
    </row>
    <row r="199">
      <c r="A199" s="20" t="inlineStr">
        <is>
          <t>SWIFB19-C24</t>
        </is>
      </c>
      <c r="B199" s="21">
        <f>IFERROR(INDEX(Conversion!$C$2:$C$500,MATCH($A199,Conversion!$B$2:$B$500,0)),"NOT ASSIGNED")</f>
        <v/>
      </c>
      <c r="C199" s="22" t="inlineStr">
        <is>
          <t>St.st. full bore swivelling hose tail, 19mm x 1/2" male, 24mm collar</t>
        </is>
      </c>
      <c r="D199" s="23" t="inlineStr">
        <is>
          <t>Swivel hose tail, full bore, 19 mm x 1/2" M, 24 mm collar, stainless steel 316</t>
        </is>
      </c>
      <c r="E199" s="33" t="n">
        <v>0.12</v>
      </c>
      <c r="F199" s="25" t="inlineStr">
        <is>
          <t>ESTIMATE - catalogue gives dimensions only (p.68-71)</t>
        </is>
      </c>
      <c r="G199" s="26" t="n">
        <v>21.3004</v>
      </c>
      <c r="H199" s="26" t="n">
        <v>18.63785</v>
      </c>
      <c r="I199" s="26" t="n">
        <v>17.306575</v>
      </c>
      <c r="J199" s="28">
        <f>IF(G199="","",G199/$C$5*(1+$C$8)+$E199*(1+$C$7)*$C$6)</f>
        <v/>
      </c>
      <c r="K199" s="28">
        <f>IF(H199="","",H199/$C$5*(1+$C$8)+$E199*(1+$C$7)*$C$6)</f>
        <v/>
      </c>
      <c r="L199" s="28">
        <f>IF(I199="","",I199/$C$5*(1+$C$8)+$E199*(1+$C$7)*$C$6)</f>
        <v/>
      </c>
      <c r="M199" s="29">
        <f>IF(J199="","",ROUND(J199*(1+$C$9),2))</f>
        <v/>
      </c>
      <c r="N199" s="29">
        <f>IF(K199="","",ROUND(K199*(1+$C$9),2))</f>
        <v/>
      </c>
      <c r="O199" s="29">
        <f>IF(L199="","",ROUND(L199*(1+$C$9),2))</f>
        <v/>
      </c>
      <c r="P199" s="30">
        <f>TRIM(IF($B199="NOT ASSIGNED","No NW part no. ","")&amp;IFERROR(IF(INDEX(Conversion!$J$2:$J$500,MATCH($A199,Conversion!$B$2:$B$500,0))="Needs review","Conversion table: needs review. ",""),"")&amp;IF(LEFT($F199,8)="ESTIMATE","Weight estimated. ","")&amp;"")</f>
        <v/>
      </c>
      <c r="R199" s="31" t="n"/>
      <c r="S199" s="8" t="n"/>
      <c r="T199" s="29">
        <f>IF($R199="","",ROUND($R199*(1-N($S199)),2))</f>
        <v/>
      </c>
      <c r="U199" s="32">
        <f>IF(OR($T199="",$T199=0,$J199=""),"",($T199-$J199)/$T199)</f>
        <v/>
      </c>
      <c r="V199" s="32">
        <f>IF(OR($T199="",$T199=0,$K199=""),"",($T199-$K199)/$T199)</f>
        <v/>
      </c>
    </row>
    <row r="200">
      <c r="A200" s="20" t="inlineStr">
        <is>
          <t>SWIFB19-C24-34</t>
        </is>
      </c>
      <c r="B200" s="21">
        <f>IFERROR(INDEX(Conversion!$C$2:$C$500,MATCH($A200,Conversion!$B$2:$B$500,0)),"NOT ASSIGNED")</f>
        <v/>
      </c>
      <c r="C200" s="22" t="inlineStr">
        <is>
          <t>St.st. full bore swivelling hose tail, 19mm x 3/4" male, 24mm collar</t>
        </is>
      </c>
      <c r="D200" s="23" t="inlineStr">
        <is>
          <t>Swivel hose tail, full bore, 19 mm x 3/4" M, 24 mm collar, stainless steel 316</t>
        </is>
      </c>
      <c r="E200" s="33" t="n">
        <v>0.13</v>
      </c>
      <c r="F200" s="25" t="inlineStr">
        <is>
          <t>ESTIMATE - catalogue gives dimensions only (p.68-71)</t>
        </is>
      </c>
      <c r="G200" s="26" t="n">
        <v>22.317856</v>
      </c>
      <c r="H200" s="26" t="n">
        <v>19.528124</v>
      </c>
      <c r="I200" s="26" t="n">
        <v>18.133258</v>
      </c>
      <c r="J200" s="28">
        <f>IF(G200="","",G200/$C$5*(1+$C$8)+$E200*(1+$C$7)*$C$6)</f>
        <v/>
      </c>
      <c r="K200" s="28">
        <f>IF(H200="","",H200/$C$5*(1+$C$8)+$E200*(1+$C$7)*$C$6)</f>
        <v/>
      </c>
      <c r="L200" s="28">
        <f>IF(I200="","",I200/$C$5*(1+$C$8)+$E200*(1+$C$7)*$C$6)</f>
        <v/>
      </c>
      <c r="M200" s="29">
        <f>IF(J200="","",ROUND(J200*(1+$C$9),2))</f>
        <v/>
      </c>
      <c r="N200" s="29">
        <f>IF(K200="","",ROUND(K200*(1+$C$9),2))</f>
        <v/>
      </c>
      <c r="O200" s="29">
        <f>IF(L200="","",ROUND(L200*(1+$C$9),2))</f>
        <v/>
      </c>
      <c r="P200" s="30">
        <f>TRIM(IF($B200="NOT ASSIGNED","No NW part no. ","")&amp;IFERROR(IF(INDEX(Conversion!$J$2:$J$500,MATCH($A200,Conversion!$B$2:$B$500,0))="Needs review","Conversion table: needs review. ",""),"")&amp;IF(LEFT($F200,8)="ESTIMATE","Weight estimated. ","")&amp;"")</f>
        <v/>
      </c>
      <c r="R200" s="31" t="n"/>
      <c r="S200" s="8" t="n"/>
      <c r="T200" s="29">
        <f>IF($R200="","",ROUND($R200*(1-N($S200)),2))</f>
        <v/>
      </c>
      <c r="U200" s="32">
        <f>IF(OR($T200="",$T200=0,$J200=""),"",($T200-$J200)/$T200)</f>
        <v/>
      </c>
      <c r="V200" s="32">
        <f>IF(OR($T200="",$T200=0,$K200=""),"",($T200-$K200)/$T200)</f>
        <v/>
      </c>
    </row>
    <row r="201">
      <c r="A201" s="20" t="inlineStr">
        <is>
          <t>SWIFB19-C24-34S</t>
        </is>
      </c>
      <c r="B201" s="21">
        <f>IFERROR(INDEX(Conversion!$C$2:$C$500,MATCH($A201,Conversion!$B$2:$B$500,0)),"NOT ASSIGNED")</f>
        <v/>
      </c>
      <c r="C201" s="22" t="inlineStr">
        <is>
          <t>St.st. full bore swivelling hose tail, 19mm x 3/4" male, 24mm collar, inside hose protection spring</t>
        </is>
      </c>
      <c r="D201" s="23" t="inlineStr">
        <is>
          <t>Swivel hose tail, full bore, 19 mm x 3/4" M, 24 mm collar, w/ anti-kink spring, stainless steel 316</t>
        </is>
      </c>
      <c r="E201" s="33" t="n">
        <v>0.17</v>
      </c>
      <c r="F201" s="25" t="inlineStr">
        <is>
          <t>ESTIMATE - catalogue gives dimensions only (p.68-71)</t>
        </is>
      </c>
      <c r="G201" s="26" t="n">
        <v>33.26</v>
      </c>
      <c r="H201" s="27" t="n"/>
      <c r="I201" s="27" t="n"/>
      <c r="J201" s="28">
        <f>IF(G201="","",G201/$C$5*(1+$C$8)+$E201*(1+$C$7)*$C$6)</f>
        <v/>
      </c>
      <c r="K201" s="28">
        <f>IF(H201="","",H201/$C$5*(1+$C$8)+$E201*(1+$C$7)*$C$6)</f>
        <v/>
      </c>
      <c r="L201" s="28">
        <f>IF(I201="","",I201/$C$5*(1+$C$8)+$E201*(1+$C$7)*$C$6)</f>
        <v/>
      </c>
      <c r="M201" s="29">
        <f>IF(J201="","",ROUND(J201*(1+$C$9),2))</f>
        <v/>
      </c>
      <c r="N201" s="29">
        <f>IF(K201="","",ROUND(K201*(1+$C$9),2))</f>
        <v/>
      </c>
      <c r="O201" s="29">
        <f>IF(L201="","",ROUND(L201*(1+$C$9),2))</f>
        <v/>
      </c>
      <c r="P201" s="30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  <c r="R201" s="31" t="n"/>
      <c r="S201" s="8" t="n"/>
      <c r="T201" s="29">
        <f>IF($R201="","",ROUND($R201*(1-N($S201)),2))</f>
        <v/>
      </c>
      <c r="U201" s="32">
        <f>IF(OR($T201="",$T201=0,$J201=""),"",($T201-$J201)/$T201)</f>
        <v/>
      </c>
      <c r="V201" s="32">
        <f>IF(OR($T201="",$T201=0,$K201=""),"",($T201-$K201)/$T201)</f>
        <v/>
      </c>
    </row>
    <row r="202">
      <c r="A202" s="20" t="inlineStr">
        <is>
          <t>SWIFB19-C24-SP</t>
        </is>
      </c>
      <c r="B202" s="21">
        <f>IFERROR(INDEX(Conversion!$C$2:$C$500,MATCH($A202,Conversion!$B$2:$B$500,0)),"NOT ASSIGNED")</f>
        <v/>
      </c>
      <c r="C202" s="22" t="inlineStr">
        <is>
          <t>St.st. full bore swivelling hose tail, 19mm x 1/2" male, 24mm collar, inside hose protection spring</t>
        </is>
      </c>
      <c r="D202" s="23" t="inlineStr">
        <is>
          <t>Swivel hose tail, full bore, 19 mm x 1/2" M, 24 mm collar, w/ anti-kink spring, stainless steel 316</t>
        </is>
      </c>
      <c r="E202" s="33" t="n">
        <v>0.16</v>
      </c>
      <c r="F202" s="25" t="inlineStr">
        <is>
          <t>ESTIMATE - catalogue gives dimensions only (p.68-71)</t>
        </is>
      </c>
      <c r="G202" s="26" t="n">
        <v>25.35368</v>
      </c>
      <c r="H202" s="26" t="n">
        <v>22.18447</v>
      </c>
      <c r="I202" s="26" t="n">
        <v>20.599865</v>
      </c>
      <c r="J202" s="28">
        <f>IF(G202="","",G202/$C$5*(1+$C$8)+$E202*(1+$C$7)*$C$6)</f>
        <v/>
      </c>
      <c r="K202" s="28">
        <f>IF(H202="","",H202/$C$5*(1+$C$8)+$E202*(1+$C$7)*$C$6)</f>
        <v/>
      </c>
      <c r="L202" s="28">
        <f>IF(I202="","",I202/$C$5*(1+$C$8)+$E202*(1+$C$7)*$C$6)</f>
        <v/>
      </c>
      <c r="M202" s="29">
        <f>IF(J202="","",ROUND(J202*(1+$C$9),2))</f>
        <v/>
      </c>
      <c r="N202" s="29">
        <f>IF(K202="","",ROUND(K202*(1+$C$9),2))</f>
        <v/>
      </c>
      <c r="O202" s="29">
        <f>IF(L202="","",ROUND(L202*(1+$C$9),2))</f>
        <v/>
      </c>
      <c r="P202" s="30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  <c r="R202" s="31" t="n"/>
      <c r="S202" s="8" t="n"/>
      <c r="T202" s="29">
        <f>IF($R202="","",ROUND($R202*(1-N($S202)),2))</f>
        <v/>
      </c>
      <c r="U202" s="32">
        <f>IF(OR($T202="",$T202=0,$J202=""),"",($T202-$J202)/$T202)</f>
        <v/>
      </c>
      <c r="V202" s="32">
        <f>IF(OR($T202="",$T202=0,$K202=""),"",($T202-$K202)/$T202)</f>
        <v/>
      </c>
    </row>
    <row r="203"/>
    <row r="204">
      <c r="A204" s="14" t="inlineStr">
        <is>
          <t>Hose tails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R204" s="15" t="n"/>
      <c r="S204" s="15" t="n"/>
      <c r="T204" s="15" t="n"/>
      <c r="U204" s="15" t="n"/>
      <c r="V204" s="15" t="n"/>
    </row>
    <row r="205"/>
    <row r="206">
      <c r="A206" s="16" t="inlineStr">
        <is>
          <t>Qty break</t>
        </is>
      </c>
      <c r="B206" s="17" t="n"/>
      <c r="C206" s="17" t="n"/>
      <c r="D206" s="17" t="n"/>
      <c r="E206" s="17" t="n"/>
      <c r="F206" s="17" t="n"/>
      <c r="G206" s="18" t="inlineStr">
        <is>
          <t>&lt; 10 pcs</t>
        </is>
      </c>
      <c r="H206" s="18" t="inlineStr">
        <is>
          <t>≥ 10 pcs</t>
        </is>
      </c>
      <c r="I206" s="18" t="inlineStr">
        <is>
          <t>≥ 50 pcs</t>
        </is>
      </c>
      <c r="J206" s="18" t="inlineStr">
        <is>
          <t>&lt; 10 pcs</t>
        </is>
      </c>
      <c r="K206" s="18" t="inlineStr">
        <is>
          <t>≥ 10 pcs</t>
        </is>
      </c>
      <c r="L206" s="18" t="inlineStr">
        <is>
          <t>≥ 50 pcs</t>
        </is>
      </c>
      <c r="M206" s="18" t="inlineStr">
        <is>
          <t>&lt; 10 pcs</t>
        </is>
      </c>
      <c r="N206" s="18" t="inlineStr">
        <is>
          <t>≥ 10 pcs</t>
        </is>
      </c>
      <c r="O206" s="18" t="inlineStr">
        <is>
          <t>≥ 50 pcs</t>
        </is>
      </c>
      <c r="P206" s="17" t="n"/>
      <c r="R206" s="17" t="n"/>
      <c r="S206" s="17" t="n"/>
      <c r="T206" s="17" t="n"/>
      <c r="U206" s="19" t="inlineStr">
        <is>
          <t>&lt; 10 pcs</t>
        </is>
      </c>
      <c r="V206" s="19" t="inlineStr">
        <is>
          <t>≥ 10 pcs</t>
        </is>
      </c>
    </row>
    <row r="207">
      <c r="A207" s="34" t="inlineStr">
        <is>
          <t>Brass</t>
        </is>
      </c>
      <c r="B207" s="35" t="n"/>
      <c r="C207" s="35" t="n"/>
      <c r="D207" s="35" t="n"/>
      <c r="E207" s="35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R207" s="35" t="n"/>
      <c r="S207" s="35" t="n"/>
      <c r="T207" s="35" t="n"/>
      <c r="U207" s="35" t="n"/>
      <c r="V207" s="35" t="n"/>
    </row>
    <row r="208"/>
    <row r="209">
      <c r="A209" s="20" t="inlineStr">
        <is>
          <t>MESS013</t>
        </is>
      </c>
      <c r="B209" s="21">
        <f>IFERROR(INDEX(Conversion!$C$2:$C$500,MATCH($A209,Conversion!$B$2:$B$500,0)),"NOT ASSIGNED")</f>
        <v/>
      </c>
      <c r="C209" s="22" t="inlineStr">
        <is>
          <t>Brass hose tail, 1/2" male x 13mm</t>
        </is>
      </c>
      <c r="D209" s="23" t="inlineStr">
        <is>
          <t>Hose tail, 13 mm x 1/2" M, brass</t>
        </is>
      </c>
      <c r="E209" s="33" t="n">
        <v>0.03</v>
      </c>
      <c r="F209" s="25" t="inlineStr">
        <is>
          <t>ESTIMATE - catalogue gives dimensions only (p.68-71)</t>
        </is>
      </c>
      <c r="G209" s="26" t="n">
        <v>2.076272</v>
      </c>
      <c r="H209" s="26" t="n">
        <v>1.816738</v>
      </c>
      <c r="I209" s="26" t="n">
        <v>1.686971</v>
      </c>
      <c r="J209" s="28">
        <f>IF(G209="","",G209/$C$5*(1+$C$8)+$E209*(1+$C$7)*$C$6)</f>
        <v/>
      </c>
      <c r="K209" s="28">
        <f>IF(H209="","",H209/$C$5*(1+$C$8)+$E209*(1+$C$7)*$C$6)</f>
        <v/>
      </c>
      <c r="L209" s="28">
        <f>IF(I209="","",I209/$C$5*(1+$C$8)+$E209*(1+$C$7)*$C$6)</f>
        <v/>
      </c>
      <c r="M209" s="29">
        <f>IF(J209="","",ROUND(J209*(1+$C$9),2))</f>
        <v/>
      </c>
      <c r="N209" s="29">
        <f>IF(K209="","",ROUND(K209*(1+$C$9),2))</f>
        <v/>
      </c>
      <c r="O209" s="29">
        <f>IF(L209="","",ROUND(L209*(1+$C$9),2))</f>
        <v/>
      </c>
      <c r="P209" s="30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  <c r="R209" s="31" t="n"/>
      <c r="S209" s="8" t="n"/>
      <c r="T209" s="29">
        <f>IF($R209="","",ROUND($R209*(1-N($S209)),2))</f>
        <v/>
      </c>
      <c r="U209" s="32">
        <f>IF(OR($T209="",$T209=0,$J209=""),"",($T209-$J209)/$T209)</f>
        <v/>
      </c>
      <c r="V209" s="32">
        <f>IF(OR($T209="",$T209=0,$K209=""),"",($T209-$K209)/$T209)</f>
        <v/>
      </c>
    </row>
    <row r="210">
      <c r="A210" s="20" t="inlineStr">
        <is>
          <t>MESS019</t>
        </is>
      </c>
      <c r="B210" s="21">
        <f>IFERROR(INDEX(Conversion!$C$2:$C$500,MATCH($A210,Conversion!$B$2:$B$500,0)),"NOT ASSIGNED")</f>
        <v/>
      </c>
      <c r="C210" s="22" t="inlineStr">
        <is>
          <t>Brass hose tail, 1/2" male x 19mm</t>
        </is>
      </c>
      <c r="D210" s="23" t="inlineStr">
        <is>
          <t>Hose tail, 19 mm x 1/2" M, brass</t>
        </is>
      </c>
      <c r="E210" s="33" t="n">
        <v>0.04</v>
      </c>
      <c r="F210" s="25" t="inlineStr">
        <is>
          <t>ESTIMATE - catalogue gives dimensions only (p.68-71)</t>
        </is>
      </c>
      <c r="G210" s="26" t="n">
        <v>2.142448</v>
      </c>
      <c r="H210" s="26" t="n">
        <v>1.874642</v>
      </c>
      <c r="I210" s="26" t="n">
        <v>1.740739</v>
      </c>
      <c r="J210" s="28">
        <f>IF(G210="","",G210/$C$5*(1+$C$8)+$E210*(1+$C$7)*$C$6)</f>
        <v/>
      </c>
      <c r="K210" s="28">
        <f>IF(H210="","",H210/$C$5*(1+$C$8)+$E210*(1+$C$7)*$C$6)</f>
        <v/>
      </c>
      <c r="L210" s="28">
        <f>IF(I210="","",I210/$C$5*(1+$C$8)+$E210*(1+$C$7)*$C$6)</f>
        <v/>
      </c>
      <c r="M210" s="29">
        <f>IF(J210="","",ROUND(J210*(1+$C$9),2))</f>
        <v/>
      </c>
      <c r="N210" s="29">
        <f>IF(K210="","",ROUND(K210*(1+$C$9),2))</f>
        <v/>
      </c>
      <c r="O210" s="29">
        <f>IF(L210="","",ROUND(L210*(1+$C$9),2))</f>
        <v/>
      </c>
      <c r="P210" s="30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  <c r="R210" s="31" t="n"/>
      <c r="S210" s="8" t="n"/>
      <c r="T210" s="29">
        <f>IF($R210="","",ROUND($R210*(1-N($S210)),2))</f>
        <v/>
      </c>
      <c r="U210" s="32">
        <f>IF(OR($T210="",$T210=0,$J210=""),"",($T210-$J210)/$T210)</f>
        <v/>
      </c>
      <c r="V210" s="32">
        <f>IF(OR($T210="",$T210=0,$K210=""),"",($T210-$K210)/$T210)</f>
        <v/>
      </c>
    </row>
    <row r="211">
      <c r="A211" s="20" t="inlineStr">
        <is>
          <t>MESS025</t>
        </is>
      </c>
      <c r="B211" s="21">
        <f>IFERROR(INDEX(Conversion!$C$2:$C$500,MATCH($A211,Conversion!$B$2:$B$500,0)),"NOT ASSIGNED")</f>
        <v/>
      </c>
      <c r="C211" s="22" t="inlineStr">
        <is>
          <t>Brass hose tail, 1/2" male x 25mm</t>
        </is>
      </c>
      <c r="D211" s="23" t="inlineStr">
        <is>
          <t>Hose tail, 25 mm x 1/2" M, brass</t>
        </is>
      </c>
      <c r="E211" s="33" t="n">
        <v>0.06</v>
      </c>
      <c r="F211" s="25" t="inlineStr">
        <is>
          <t>ESTIMATE - catalogue gives dimensions only (p.68-71)</t>
        </is>
      </c>
      <c r="G211" s="26" t="n">
        <v>7.750864</v>
      </c>
      <c r="H211" s="26" t="n">
        <v>6.782006</v>
      </c>
      <c r="I211" s="26" t="n">
        <v>6.297577</v>
      </c>
      <c r="J211" s="28">
        <f>IF(G211="","",G211/$C$5*(1+$C$8)+$E211*(1+$C$7)*$C$6)</f>
        <v/>
      </c>
      <c r="K211" s="28">
        <f>IF(H211="","",H211/$C$5*(1+$C$8)+$E211*(1+$C$7)*$C$6)</f>
        <v/>
      </c>
      <c r="L211" s="28">
        <f>IF(I211="","",I211/$C$5*(1+$C$8)+$E211*(1+$C$7)*$C$6)</f>
        <v/>
      </c>
      <c r="M211" s="29">
        <f>IF(J211="","",ROUND(J211*(1+$C$9),2))</f>
        <v/>
      </c>
      <c r="N211" s="29">
        <f>IF(K211="","",ROUND(K211*(1+$C$9),2))</f>
        <v/>
      </c>
      <c r="O211" s="29">
        <f>IF(L211="","",ROUND(L211*(1+$C$9),2))</f>
        <v/>
      </c>
      <c r="P211" s="30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  <c r="R211" s="31" t="n"/>
      <c r="S211" s="8" t="n"/>
      <c r="T211" s="29">
        <f>IF($R211="","",ROUND($R211*(1-N($S211)),2))</f>
        <v/>
      </c>
      <c r="U211" s="32">
        <f>IF(OR($T211="",$T211=0,$J211=""),"",($T211-$J211)/$T211)</f>
        <v/>
      </c>
      <c r="V211" s="32">
        <f>IF(OR($T211="",$T211=0,$K211=""),"",($T211-$K211)/$T211)</f>
        <v/>
      </c>
    </row>
    <row r="212"/>
    <row r="213">
      <c r="A213" s="34" t="inlineStr">
        <is>
          <t>Chrome plated brass</t>
        </is>
      </c>
      <c r="B213" s="35" t="n"/>
      <c r="C213" s="35" t="n"/>
      <c r="D213" s="35" t="n"/>
      <c r="E213" s="35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R213" s="35" t="n"/>
      <c r="S213" s="35" t="n"/>
      <c r="T213" s="35" t="n"/>
      <c r="U213" s="35" t="n"/>
      <c r="V213" s="35" t="n"/>
    </row>
    <row r="214"/>
    <row r="215">
      <c r="A215" s="20" t="inlineStr">
        <is>
          <t>MESC013</t>
        </is>
      </c>
      <c r="B215" s="21">
        <f>IFERROR(INDEX(Conversion!$C$2:$C$500,MATCH($A215,Conversion!$B$2:$B$500,0)),"NOT ASSIGNED")</f>
        <v/>
      </c>
      <c r="C215" s="22" t="inlineStr">
        <is>
          <t>Chrome plated brass hose tail, 1/2" BSP male with O-ring x 13mm</t>
        </is>
      </c>
      <c r="D215" s="23" t="inlineStr">
        <is>
          <t>Hose tail, 13 mm x 1/2" M, w/ O-ring, chrome-plated brass</t>
        </is>
      </c>
      <c r="E215" s="33" t="n">
        <v>0.035</v>
      </c>
      <c r="F215" s="25" t="inlineStr">
        <is>
          <t>ESTIMATE - catalogue gives dimensions only (p.68-71)</t>
        </is>
      </c>
      <c r="G215" s="26" t="n">
        <v>3.747216</v>
      </c>
      <c r="H215" s="26" t="n">
        <v>3.278814</v>
      </c>
      <c r="I215" s="26" t="n">
        <v>3.044613</v>
      </c>
      <c r="J215" s="28">
        <f>IF(G215="","",G215/$C$5*(1+$C$8)+$E215*(1+$C$7)*$C$6)</f>
        <v/>
      </c>
      <c r="K215" s="28">
        <f>IF(H215="","",H215/$C$5*(1+$C$8)+$E215*(1+$C$7)*$C$6)</f>
        <v/>
      </c>
      <c r="L215" s="28">
        <f>IF(I215="","",I215/$C$5*(1+$C$8)+$E215*(1+$C$7)*$C$6)</f>
        <v/>
      </c>
      <c r="M215" s="29">
        <f>IF(J215="","",ROUND(J215*(1+$C$9),2))</f>
        <v/>
      </c>
      <c r="N215" s="29">
        <f>IF(K215="","",ROUND(K215*(1+$C$9),2))</f>
        <v/>
      </c>
      <c r="O215" s="29">
        <f>IF(L215="","",ROUND(L215*(1+$C$9),2))</f>
        <v/>
      </c>
      <c r="P215" s="30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  <c r="R215" s="31" t="n"/>
      <c r="S215" s="8" t="n"/>
      <c r="T215" s="29">
        <f>IF($R215="","",ROUND($R215*(1-N($S215)),2))</f>
        <v/>
      </c>
      <c r="U215" s="32">
        <f>IF(OR($T215="",$T215=0,$J215=""),"",($T215-$J215)/$T215)</f>
        <v/>
      </c>
      <c r="V215" s="32">
        <f>IF(OR($T215="",$T215=0,$K215=""),"",($T215-$K215)/$T215)</f>
        <v/>
      </c>
    </row>
    <row r="216">
      <c r="A216" s="20" t="inlineStr">
        <is>
          <t>MESC016</t>
        </is>
      </c>
      <c r="B216" s="21">
        <f>IFERROR(INDEX(Conversion!$C$2:$C$500,MATCH($A216,Conversion!$B$2:$B$500,0)),"NOT ASSIGNED")</f>
        <v/>
      </c>
      <c r="C216" s="22" t="inlineStr">
        <is>
          <t>Chrome plated brass hose tail, 1/2" BSP male with O-ring x 16mm</t>
        </is>
      </c>
      <c r="D216" s="23" t="inlineStr">
        <is>
          <t>Hose tail, 16 mm x 1/2" M, w/ O-ring, chrome-plated brass</t>
        </is>
      </c>
      <c r="E216" s="33" t="n">
        <v>0.04</v>
      </c>
      <c r="F216" s="25" t="inlineStr">
        <is>
          <t>ESTIMATE - catalogue gives dimensions only (p.68-71)</t>
        </is>
      </c>
      <c r="G216" s="26" t="n">
        <v>4.152544</v>
      </c>
      <c r="H216" s="26" t="n">
        <v>3.633476</v>
      </c>
      <c r="I216" s="26" t="n">
        <v>3.373942</v>
      </c>
      <c r="J216" s="28">
        <f>IF(G216="","",G216/$C$5*(1+$C$8)+$E216*(1+$C$7)*$C$6)</f>
        <v/>
      </c>
      <c r="K216" s="28">
        <f>IF(H216="","",H216/$C$5*(1+$C$8)+$E216*(1+$C$7)*$C$6)</f>
        <v/>
      </c>
      <c r="L216" s="28">
        <f>IF(I216="","",I216/$C$5*(1+$C$8)+$E216*(1+$C$7)*$C$6)</f>
        <v/>
      </c>
      <c r="M216" s="29">
        <f>IF(J216="","",ROUND(J216*(1+$C$9),2))</f>
        <v/>
      </c>
      <c r="N216" s="29">
        <f>IF(K216="","",ROUND(K216*(1+$C$9),2))</f>
        <v/>
      </c>
      <c r="O216" s="29">
        <f>IF(L216="","",ROUND(L216*(1+$C$9),2))</f>
        <v/>
      </c>
      <c r="P216" s="30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  <c r="R216" s="31" t="n"/>
      <c r="S216" s="8" t="n"/>
      <c r="T216" s="29">
        <f>IF($R216="","",ROUND($R216*(1-N($S216)),2))</f>
        <v/>
      </c>
      <c r="U216" s="32">
        <f>IF(OR($T216="",$T216=0,$J216=""),"",($T216-$J216)/$T216)</f>
        <v/>
      </c>
      <c r="V216" s="32">
        <f>IF(OR($T216="",$T216=0,$K216=""),"",($T216-$K216)/$T216)</f>
        <v/>
      </c>
    </row>
    <row r="217">
      <c r="A217" s="20" t="inlineStr">
        <is>
          <t>MESC019</t>
        </is>
      </c>
      <c r="B217" s="21">
        <f>IFERROR(INDEX(Conversion!$C$2:$C$500,MATCH($A217,Conversion!$B$2:$B$500,0)),"NOT ASSIGNED")</f>
        <v/>
      </c>
      <c r="C217" s="22" t="inlineStr">
        <is>
          <t>Chrome plated brass hose tail, 1/2" BSP male with O-ring x 19mm</t>
        </is>
      </c>
      <c r="D217" s="23" t="inlineStr">
        <is>
          <t>Hose tail, 19 mm x 1/2" M, w/ O-ring, chrome-plated brass</t>
        </is>
      </c>
      <c r="E217" s="33" t="n">
        <v>0.045</v>
      </c>
      <c r="F217" s="25" t="inlineStr">
        <is>
          <t>ESTIMATE - catalogue gives dimensions only (p.68-71)</t>
        </is>
      </c>
      <c r="G217" s="26" t="n">
        <v>4.309712</v>
      </c>
      <c r="H217" s="26" t="n">
        <v>3.770998</v>
      </c>
      <c r="I217" s="26" t="n">
        <v>3.501641</v>
      </c>
      <c r="J217" s="28">
        <f>IF(G217="","",G217/$C$5*(1+$C$8)+$E217*(1+$C$7)*$C$6)</f>
        <v/>
      </c>
      <c r="K217" s="28">
        <f>IF(H217="","",H217/$C$5*(1+$C$8)+$E217*(1+$C$7)*$C$6)</f>
        <v/>
      </c>
      <c r="L217" s="28">
        <f>IF(I217="","",I217/$C$5*(1+$C$8)+$E217*(1+$C$7)*$C$6)</f>
        <v/>
      </c>
      <c r="M217" s="29">
        <f>IF(J217="","",ROUND(J217*(1+$C$9),2))</f>
        <v/>
      </c>
      <c r="N217" s="29">
        <f>IF(K217="","",ROUND(K217*(1+$C$9),2))</f>
        <v/>
      </c>
      <c r="O217" s="29">
        <f>IF(L217="","",ROUND(L217*(1+$C$9),2))</f>
        <v/>
      </c>
      <c r="P217" s="30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  <c r="R217" s="31" t="n"/>
      <c r="S217" s="8" t="n"/>
      <c r="T217" s="29">
        <f>IF($R217="","",ROUND($R217*(1-N($S217)),2))</f>
        <v/>
      </c>
      <c r="U217" s="32">
        <f>IF(OR($T217="",$T217=0,$J217=""),"",($T217-$J217)/$T217)</f>
        <v/>
      </c>
      <c r="V217" s="32">
        <f>IF(OR($T217="",$T217=0,$K217=""),"",($T217-$K217)/$T217)</f>
        <v/>
      </c>
    </row>
    <row r="218"/>
    <row r="219">
      <c r="A219" s="34" t="inlineStr">
        <is>
          <t>Stainless steel</t>
        </is>
      </c>
      <c r="B219" s="35" t="n"/>
      <c r="C219" s="35" t="n"/>
      <c r="D219" s="35" t="n"/>
      <c r="E219" s="35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R219" s="35" t="n"/>
      <c r="S219" s="35" t="n"/>
      <c r="T219" s="35" t="n"/>
      <c r="U219" s="35" t="n"/>
      <c r="V219" s="35" t="n"/>
    </row>
    <row r="220"/>
    <row r="221">
      <c r="A221" s="20" t="inlineStr">
        <is>
          <t>RVST013-C17</t>
        </is>
      </c>
      <c r="B221" s="21">
        <f>IFERROR(INDEX(Conversion!$C$2:$C$500,MATCH($A221,Conversion!$B$2:$B$500,0)),"NOT ASSIGNED")</f>
        <v/>
      </c>
      <c r="C221" s="22" t="inlineStr">
        <is>
          <t>St.st. hose tail, 1/2" male x 13mm, 17mm collar</t>
        </is>
      </c>
      <c r="D221" s="23" t="inlineStr">
        <is>
          <t>Hose tail, 13 mm x 1/2" M, 17 mm collar, stainless steel 316</t>
        </is>
      </c>
      <c r="E221" s="33" t="n">
        <v>0.04</v>
      </c>
      <c r="F221" s="25" t="inlineStr">
        <is>
          <t>ESTIMATE - catalogue gives dimensions only (p.68-71)</t>
        </is>
      </c>
      <c r="G221" s="26" t="n">
        <v>7.69296</v>
      </c>
      <c r="H221" s="26" t="n">
        <v>6.73134</v>
      </c>
      <c r="I221" s="26" t="n">
        <v>6.25053</v>
      </c>
      <c r="J221" s="28">
        <f>IF(G221="","",G221/$C$5*(1+$C$8)+$E221*(1+$C$7)*$C$6)</f>
        <v/>
      </c>
      <c r="K221" s="28">
        <f>IF(H221="","",H221/$C$5*(1+$C$8)+$E221*(1+$C$7)*$C$6)</f>
        <v/>
      </c>
      <c r="L221" s="28">
        <f>IF(I221="","",I221/$C$5*(1+$C$8)+$E221*(1+$C$7)*$C$6)</f>
        <v/>
      </c>
      <c r="M221" s="29">
        <f>IF(J221="","",ROUND(J221*(1+$C$9),2))</f>
        <v/>
      </c>
      <c r="N221" s="29">
        <f>IF(K221="","",ROUND(K221*(1+$C$9),2))</f>
        <v/>
      </c>
      <c r="O221" s="29">
        <f>IF(L221="","",ROUND(L221*(1+$C$9),2))</f>
        <v/>
      </c>
      <c r="P221" s="30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  <c r="R221" s="31" t="n"/>
      <c r="S221" s="8" t="n"/>
      <c r="T221" s="29">
        <f>IF($R221="","",ROUND($R221*(1-N($S221)),2))</f>
        <v/>
      </c>
      <c r="U221" s="32">
        <f>IF(OR($T221="",$T221=0,$J221=""),"",($T221-$J221)/$T221)</f>
        <v/>
      </c>
      <c r="V221" s="32">
        <f>IF(OR($T221="",$T221=0,$K221=""),"",($T221-$K221)/$T221)</f>
        <v/>
      </c>
    </row>
    <row r="222">
      <c r="A222" s="20" t="inlineStr">
        <is>
          <t>RVST013-C17-SP</t>
        </is>
      </c>
      <c r="B222" s="21">
        <f>IFERROR(INDEX(Conversion!$C$2:$C$500,MATCH($A222,Conversion!$B$2:$B$500,0)),"NOT ASSIGNED")</f>
        <v/>
      </c>
      <c r="C222" s="22" t="inlineStr">
        <is>
          <t>St.st. hose tail, 1/2" male x 13mm, 17mm collar, inside hose protection spring</t>
        </is>
      </c>
      <c r="D222" s="23" t="inlineStr">
        <is>
          <t>Hose tail, 13 mm x 1/2" M, 17 mm collar, w/ anti-kink spring, stainless steel 316</t>
        </is>
      </c>
      <c r="E222" s="33" t="n">
        <v>0.08</v>
      </c>
      <c r="F222" s="25" t="inlineStr">
        <is>
          <t>ESTIMATE - catalogue gives dimensions only (p.68-71)</t>
        </is>
      </c>
      <c r="G222" s="26" t="n">
        <v>13.946592</v>
      </c>
      <c r="H222" s="26" t="n">
        <v>12.203268</v>
      </c>
      <c r="I222" s="26" t="n">
        <v>11.331606</v>
      </c>
      <c r="J222" s="28">
        <f>IF(G222="","",G222/$C$5*(1+$C$8)+$E222*(1+$C$7)*$C$6)</f>
        <v/>
      </c>
      <c r="K222" s="28">
        <f>IF(H222="","",H222/$C$5*(1+$C$8)+$E222*(1+$C$7)*$C$6)</f>
        <v/>
      </c>
      <c r="L222" s="28">
        <f>IF(I222="","",I222/$C$5*(1+$C$8)+$E222*(1+$C$7)*$C$6)</f>
        <v/>
      </c>
      <c r="M222" s="29">
        <f>IF(J222="","",ROUND(J222*(1+$C$9),2))</f>
        <v/>
      </c>
      <c r="N222" s="29">
        <f>IF(K222="","",ROUND(K222*(1+$C$9),2))</f>
        <v/>
      </c>
      <c r="O222" s="29">
        <f>IF(L222="","",ROUND(L222*(1+$C$9),2))</f>
        <v/>
      </c>
      <c r="P222" s="30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  <c r="R222" s="31" t="n"/>
      <c r="S222" s="8" t="n"/>
      <c r="T222" s="29">
        <f>IF($R222="","",ROUND($R222*(1-N($S222)),2))</f>
        <v/>
      </c>
      <c r="U222" s="32">
        <f>IF(OR($T222="",$T222=0,$J222=""),"",($T222-$J222)/$T222)</f>
        <v/>
      </c>
      <c r="V222" s="32">
        <f>IF(OR($T222="",$T222=0,$K222=""),"",($T222-$K222)/$T222)</f>
        <v/>
      </c>
    </row>
    <row r="223">
      <c r="A223" s="20" t="inlineStr">
        <is>
          <t>RVST013-C20</t>
        </is>
      </c>
      <c r="B223" s="21">
        <f>IFERROR(INDEX(Conversion!$C$2:$C$500,MATCH($A223,Conversion!$B$2:$B$500,0)),"NOT ASSIGNED")</f>
        <v/>
      </c>
      <c r="C223" s="22" t="inlineStr">
        <is>
          <t>St.st. hose tail, 1/2" male x 13mm, 20mm collar</t>
        </is>
      </c>
      <c r="D223" s="23" t="inlineStr">
        <is>
          <t>Hose tail, 13 mm x 1/2" M, 20 mm collar, stainless steel 316</t>
        </is>
      </c>
      <c r="E223" s="33" t="n">
        <v>0.04</v>
      </c>
      <c r="F223" s="25" t="inlineStr">
        <is>
          <t>ESTIMATE - catalogue gives dimensions only (p.68-71)</t>
        </is>
      </c>
      <c r="G223" s="26" t="n">
        <v>7.69296</v>
      </c>
      <c r="H223" s="26" t="n">
        <v>6.73134</v>
      </c>
      <c r="I223" s="26" t="n">
        <v>6.25053</v>
      </c>
      <c r="J223" s="28">
        <f>IF(G223="","",G223/$C$5*(1+$C$8)+$E223*(1+$C$7)*$C$6)</f>
        <v/>
      </c>
      <c r="K223" s="28">
        <f>IF(H223="","",H223/$C$5*(1+$C$8)+$E223*(1+$C$7)*$C$6)</f>
        <v/>
      </c>
      <c r="L223" s="28">
        <f>IF(I223="","",I223/$C$5*(1+$C$8)+$E223*(1+$C$7)*$C$6)</f>
        <v/>
      </c>
      <c r="M223" s="29">
        <f>IF(J223="","",ROUND(J223*(1+$C$9),2))</f>
        <v/>
      </c>
      <c r="N223" s="29">
        <f>IF(K223="","",ROUND(K223*(1+$C$9),2))</f>
        <v/>
      </c>
      <c r="O223" s="29">
        <f>IF(L223="","",ROUND(L223*(1+$C$9),2))</f>
        <v/>
      </c>
      <c r="P223" s="30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  <c r="R223" s="31" t="n"/>
      <c r="S223" s="8" t="n"/>
      <c r="T223" s="29">
        <f>IF($R223="","",ROUND($R223*(1-N($S223)),2))</f>
        <v/>
      </c>
      <c r="U223" s="32">
        <f>IF(OR($T223="",$T223=0,$J223=""),"",($T223-$J223)/$T223)</f>
        <v/>
      </c>
      <c r="V223" s="32">
        <f>IF(OR($T223="",$T223=0,$K223=""),"",($T223-$K223)/$T223)</f>
        <v/>
      </c>
    </row>
    <row r="224">
      <c r="A224" s="20" t="inlineStr">
        <is>
          <t>RVST013-C20-12F</t>
        </is>
      </c>
      <c r="B224" s="21">
        <f>IFERROR(INDEX(Conversion!$C$2:$C$500,MATCH($A224,Conversion!$B$2:$B$500,0)),"NOT ASSIGNED")</f>
        <v/>
      </c>
      <c r="C224" s="22" t="inlineStr">
        <is>
          <t>St.st. hose tail, 1/2" female x 13mm, 20mm collar</t>
        </is>
      </c>
      <c r="D224" s="23" t="inlineStr">
        <is>
          <t>Hose tail, 13 mm x 1/2" F, 20 mm collar, stainless steel 316</t>
        </is>
      </c>
      <c r="E224" s="33" t="n">
        <v>0.05</v>
      </c>
      <c r="F224" s="25" t="inlineStr">
        <is>
          <t>ESTIMATE - catalogue gives dimensions only (p.68-71)</t>
        </is>
      </c>
      <c r="G224" s="26" t="n">
        <v>7.69296</v>
      </c>
      <c r="H224" s="26" t="n">
        <v>6.73134</v>
      </c>
      <c r="I224" s="26" t="n">
        <v>6.25053</v>
      </c>
      <c r="J224" s="28">
        <f>IF(G224="","",G224/$C$5*(1+$C$8)+$E224*(1+$C$7)*$C$6)</f>
        <v/>
      </c>
      <c r="K224" s="28">
        <f>IF(H224="","",H224/$C$5*(1+$C$8)+$E224*(1+$C$7)*$C$6)</f>
        <v/>
      </c>
      <c r="L224" s="28">
        <f>IF(I224="","",I224/$C$5*(1+$C$8)+$E224*(1+$C$7)*$C$6)</f>
        <v/>
      </c>
      <c r="M224" s="29">
        <f>IF(J224="","",ROUND(J224*(1+$C$9),2))</f>
        <v/>
      </c>
      <c r="N224" s="29">
        <f>IF(K224="","",ROUND(K224*(1+$C$9),2))</f>
        <v/>
      </c>
      <c r="O224" s="29">
        <f>IF(L224="","",ROUND(L224*(1+$C$9),2))</f>
        <v/>
      </c>
      <c r="P224" s="30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  <c r="R224" s="31" t="n"/>
      <c r="S224" s="8" t="n"/>
      <c r="T224" s="29">
        <f>IF($R224="","",ROUND($R224*(1-N($S224)),2))</f>
        <v/>
      </c>
      <c r="U224" s="32">
        <f>IF(OR($T224="",$T224=0,$J224=""),"",($T224-$J224)/$T224)</f>
        <v/>
      </c>
      <c r="V224" s="32">
        <f>IF(OR($T224="",$T224=0,$K224=""),"",($T224-$K224)/$T224)</f>
        <v/>
      </c>
    </row>
    <row r="225">
      <c r="A225" s="20" t="inlineStr">
        <is>
          <t>RVST013-C20-34F</t>
        </is>
      </c>
      <c r="B225" s="21">
        <f>IFERROR(INDEX(Conversion!$C$2:$C$500,MATCH($A225,Conversion!$B$2:$B$500,0)),"NOT ASSIGNED")</f>
        <v/>
      </c>
      <c r="C225" s="22" t="inlineStr">
        <is>
          <t>St.st. hose tail, 3/4" female x 13mm, 20mm collar</t>
        </is>
      </c>
      <c r="D225" s="23" t="inlineStr">
        <is>
          <t>Hose tail, 13 mm x 3/4" F, 20 mm collar, stainless steel 316</t>
        </is>
      </c>
      <c r="E225" s="33" t="n">
        <v>0.06</v>
      </c>
      <c r="F225" s="25" t="inlineStr">
        <is>
          <t>ESTIMATE - catalogue gives dimensions only (p.68-71)</t>
        </is>
      </c>
      <c r="G225" s="26" t="n">
        <v>7.69296</v>
      </c>
      <c r="H225" s="26" t="n">
        <v>6.73134</v>
      </c>
      <c r="I225" s="26" t="n">
        <v>6.25053</v>
      </c>
      <c r="J225" s="28">
        <f>IF(G225="","",G225/$C$5*(1+$C$8)+$E225*(1+$C$7)*$C$6)</f>
        <v/>
      </c>
      <c r="K225" s="28">
        <f>IF(H225="","",H225/$C$5*(1+$C$8)+$E225*(1+$C$7)*$C$6)</f>
        <v/>
      </c>
      <c r="L225" s="28">
        <f>IF(I225="","",I225/$C$5*(1+$C$8)+$E225*(1+$C$7)*$C$6)</f>
        <v/>
      </c>
      <c r="M225" s="29">
        <f>IF(J225="","",ROUND(J225*(1+$C$9),2))</f>
        <v/>
      </c>
      <c r="N225" s="29">
        <f>IF(K225="","",ROUND(K225*(1+$C$9),2))</f>
        <v/>
      </c>
      <c r="O225" s="29">
        <f>IF(L225="","",ROUND(L225*(1+$C$9),2))</f>
        <v/>
      </c>
      <c r="P225" s="30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  <c r="R225" s="31" t="n"/>
      <c r="S225" s="8" t="n"/>
      <c r="T225" s="29">
        <f>IF($R225="","",ROUND($R225*(1-N($S225)),2))</f>
        <v/>
      </c>
      <c r="U225" s="32">
        <f>IF(OR($T225="",$T225=0,$J225=""),"",($T225-$J225)/$T225)</f>
        <v/>
      </c>
      <c r="V225" s="32">
        <f>IF(OR($T225="",$T225=0,$K225=""),"",($T225-$K225)/$T225)</f>
        <v/>
      </c>
    </row>
    <row r="226">
      <c r="A226" s="20" t="inlineStr">
        <is>
          <t>RVST013-C20-SP</t>
        </is>
      </c>
      <c r="B226" s="21">
        <f>IFERROR(INDEX(Conversion!$C$2:$C$500,MATCH($A226,Conversion!$B$2:$B$500,0)),"NOT ASSIGNED")</f>
        <v/>
      </c>
      <c r="C226" s="22" t="inlineStr">
        <is>
          <t>St.st. hose tail, 1/2" male x 13mm, 20mm collar, inside hose protection spring</t>
        </is>
      </c>
      <c r="D226" s="23" t="inlineStr">
        <is>
          <t>Hose tail, 13 mm x 1/2" M, 20 mm collar, w/ anti-kink spring, stainless steel 316</t>
        </is>
      </c>
      <c r="E226" s="33" t="n">
        <v>0.08</v>
      </c>
      <c r="F226" s="25" t="inlineStr">
        <is>
          <t>ESTIMATE - catalogue gives dimensions only (p.68-71)</t>
        </is>
      </c>
      <c r="G226" s="26" t="n">
        <v>13.946592</v>
      </c>
      <c r="H226" s="26" t="n">
        <v>12.203268</v>
      </c>
      <c r="I226" s="26" t="n">
        <v>11.331606</v>
      </c>
      <c r="J226" s="28">
        <f>IF(G226="","",G226/$C$5*(1+$C$8)+$E226*(1+$C$7)*$C$6)</f>
        <v/>
      </c>
      <c r="K226" s="28">
        <f>IF(H226="","",H226/$C$5*(1+$C$8)+$E226*(1+$C$7)*$C$6)</f>
        <v/>
      </c>
      <c r="L226" s="28">
        <f>IF(I226="","",I226/$C$5*(1+$C$8)+$E226*(1+$C$7)*$C$6)</f>
        <v/>
      </c>
      <c r="M226" s="29">
        <f>IF(J226="","",ROUND(J226*(1+$C$9),2))</f>
        <v/>
      </c>
      <c r="N226" s="29">
        <f>IF(K226="","",ROUND(K226*(1+$C$9),2))</f>
        <v/>
      </c>
      <c r="O226" s="29">
        <f>IF(L226="","",ROUND(L226*(1+$C$9),2))</f>
        <v/>
      </c>
      <c r="P226" s="30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  <c r="R226" s="31" t="n"/>
      <c r="S226" s="8" t="n"/>
      <c r="T226" s="29">
        <f>IF($R226="","",ROUND($R226*(1-N($S226)),2))</f>
        <v/>
      </c>
      <c r="U226" s="32">
        <f>IF(OR($T226="",$T226=0,$J226=""),"",($T226-$J226)/$T226)</f>
        <v/>
      </c>
      <c r="V226" s="32">
        <f>IF(OR($T226="",$T226=0,$K226=""),"",($T226-$K226)/$T226)</f>
        <v/>
      </c>
    </row>
    <row r="227">
      <c r="A227" s="20" t="inlineStr">
        <is>
          <t>RVST016-C21</t>
        </is>
      </c>
      <c r="B227" s="21">
        <f>IFERROR(INDEX(Conversion!$C$2:$C$500,MATCH($A227,Conversion!$B$2:$B$500,0)),"NOT ASSIGNED")</f>
        <v/>
      </c>
      <c r="C227" s="22" t="inlineStr">
        <is>
          <t>St.st. hose tail, 1/2" male x 16mm, 21mm collar</t>
        </is>
      </c>
      <c r="D227" s="23" t="inlineStr">
        <is>
          <t>Hose tail, 16 mm x 1/2" M, 21 mm collar, stainless steel 316</t>
        </is>
      </c>
      <c r="E227" s="33" t="n">
        <v>0.05</v>
      </c>
      <c r="F227" s="25" t="inlineStr">
        <is>
          <t>ESTIMATE - catalogue gives dimensions only (p.68-71)</t>
        </is>
      </c>
      <c r="G227" s="26" t="n">
        <v>7.69296</v>
      </c>
      <c r="H227" s="26" t="n">
        <v>6.73134</v>
      </c>
      <c r="I227" s="26" t="n">
        <v>6.25053</v>
      </c>
      <c r="J227" s="28">
        <f>IF(G227="","",G227/$C$5*(1+$C$8)+$E227*(1+$C$7)*$C$6)</f>
        <v/>
      </c>
      <c r="K227" s="28">
        <f>IF(H227="","",H227/$C$5*(1+$C$8)+$E227*(1+$C$7)*$C$6)</f>
        <v/>
      </c>
      <c r="L227" s="28">
        <f>IF(I227="","",I227/$C$5*(1+$C$8)+$E227*(1+$C$7)*$C$6)</f>
        <v/>
      </c>
      <c r="M227" s="29">
        <f>IF(J227="","",ROUND(J227*(1+$C$9),2))</f>
        <v/>
      </c>
      <c r="N227" s="29">
        <f>IF(K227="","",ROUND(K227*(1+$C$9),2))</f>
        <v/>
      </c>
      <c r="O227" s="29">
        <f>IF(L227="","",ROUND(L227*(1+$C$9),2))</f>
        <v/>
      </c>
      <c r="P227" s="30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  <c r="R227" s="31" t="n"/>
      <c r="S227" s="8" t="n"/>
      <c r="T227" s="29">
        <f>IF($R227="","",ROUND($R227*(1-N($S227)),2))</f>
        <v/>
      </c>
      <c r="U227" s="32">
        <f>IF(OR($T227="",$T227=0,$J227=""),"",($T227-$J227)/$T227)</f>
        <v/>
      </c>
      <c r="V227" s="32">
        <f>IF(OR($T227="",$T227=0,$K227=""),"",($T227-$K227)/$T227)</f>
        <v/>
      </c>
    </row>
    <row r="228">
      <c r="A228" s="20" t="inlineStr">
        <is>
          <t>RVST016-C21-SP</t>
        </is>
      </c>
      <c r="B228" s="21">
        <f>IFERROR(INDEX(Conversion!$C$2:$C$500,MATCH($A228,Conversion!$B$2:$B$500,0)),"NOT ASSIGNED")</f>
        <v/>
      </c>
      <c r="C228" s="22" t="inlineStr">
        <is>
          <t>St.st. hose tail, 1/2" male x 16mm, 21mm collar, inside hose protection spring</t>
        </is>
      </c>
      <c r="D228" s="23" t="inlineStr">
        <is>
          <t>Hose tail, 16 mm x 1/2" M, 21 mm collar, w/ anti-kink spring, stainless steel 316</t>
        </is>
      </c>
      <c r="E228" s="33" t="n">
        <v>0.09</v>
      </c>
      <c r="F228" s="25" t="inlineStr">
        <is>
          <t>ESTIMATE - catalogue gives dimensions only (p.68-71)</t>
        </is>
      </c>
      <c r="G228" s="26" t="n">
        <v>13.946592</v>
      </c>
      <c r="H228" s="26" t="n">
        <v>12.203268</v>
      </c>
      <c r="I228" s="26" t="n">
        <v>11.331606</v>
      </c>
      <c r="J228" s="28">
        <f>IF(G228="","",G228/$C$5*(1+$C$8)+$E228*(1+$C$7)*$C$6)</f>
        <v/>
      </c>
      <c r="K228" s="28">
        <f>IF(H228="","",H228/$C$5*(1+$C$8)+$E228*(1+$C$7)*$C$6)</f>
        <v/>
      </c>
      <c r="L228" s="28">
        <f>IF(I228="","",I228/$C$5*(1+$C$8)+$E228*(1+$C$7)*$C$6)</f>
        <v/>
      </c>
      <c r="M228" s="29">
        <f>IF(J228="","",ROUND(J228*(1+$C$9),2))</f>
        <v/>
      </c>
      <c r="N228" s="29">
        <f>IF(K228="","",ROUND(K228*(1+$C$9),2))</f>
        <v/>
      </c>
      <c r="O228" s="29">
        <f>IF(L228="","",ROUND(L228*(1+$C$9),2))</f>
        <v/>
      </c>
      <c r="P228" s="30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  <c r="R228" s="31" t="n"/>
      <c r="S228" s="8" t="n"/>
      <c r="T228" s="29">
        <f>IF($R228="","",ROUND($R228*(1-N($S228)),2))</f>
        <v/>
      </c>
      <c r="U228" s="32">
        <f>IF(OR($T228="",$T228=0,$J228=""),"",($T228-$J228)/$T228)</f>
        <v/>
      </c>
      <c r="V228" s="32">
        <f>IF(OR($T228="",$T228=0,$K228=""),"",($T228-$K228)/$T228)</f>
        <v/>
      </c>
    </row>
    <row r="229">
      <c r="A229" s="20" t="inlineStr">
        <is>
          <t>RVST019-C24</t>
        </is>
      </c>
      <c r="B229" s="21">
        <f>IFERROR(INDEX(Conversion!$C$2:$C$500,MATCH($A229,Conversion!$B$2:$B$500,0)),"NOT ASSIGNED")</f>
        <v/>
      </c>
      <c r="C229" s="22" t="inlineStr">
        <is>
          <t>St.st. hose tail, 1/2" male x 19mm, 24mm collar</t>
        </is>
      </c>
      <c r="D229" s="23" t="inlineStr">
        <is>
          <t>Hose tail, 19 mm x 1/2" M, 24 mm collar, stainless steel 316</t>
        </is>
      </c>
      <c r="E229" s="33" t="n">
        <v>0.06</v>
      </c>
      <c r="F229" s="25" t="inlineStr">
        <is>
          <t>ESTIMATE - catalogue gives dimensions only (p.68-71)</t>
        </is>
      </c>
      <c r="G229" s="26" t="n">
        <v>8.114832</v>
      </c>
      <c r="H229" s="26" t="n">
        <v>7.100478</v>
      </c>
      <c r="I229" s="26" t="n">
        <v>6.593301</v>
      </c>
      <c r="J229" s="28">
        <f>IF(G229="","",G229/$C$5*(1+$C$8)+$E229*(1+$C$7)*$C$6)</f>
        <v/>
      </c>
      <c r="K229" s="28">
        <f>IF(H229="","",H229/$C$5*(1+$C$8)+$E229*(1+$C$7)*$C$6)</f>
        <v/>
      </c>
      <c r="L229" s="28">
        <f>IF(I229="","",I229/$C$5*(1+$C$8)+$E229*(1+$C$7)*$C$6)</f>
        <v/>
      </c>
      <c r="M229" s="29">
        <f>IF(J229="","",ROUND(J229*(1+$C$9),2))</f>
        <v/>
      </c>
      <c r="N229" s="29">
        <f>IF(K229="","",ROUND(K229*(1+$C$9),2))</f>
        <v/>
      </c>
      <c r="O229" s="29">
        <f>IF(L229="","",ROUND(L229*(1+$C$9),2))</f>
        <v/>
      </c>
      <c r="P229" s="30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  <c r="R229" s="31" t="n"/>
      <c r="S229" s="8" t="n"/>
      <c r="T229" s="29">
        <f>IF($R229="","",ROUND($R229*(1-N($S229)),2))</f>
        <v/>
      </c>
      <c r="U229" s="32">
        <f>IF(OR($T229="",$T229=0,$J229=""),"",($T229-$J229)/$T229)</f>
        <v/>
      </c>
      <c r="V229" s="32">
        <f>IF(OR($T229="",$T229=0,$K229=""),"",($T229-$K229)/$T229)</f>
        <v/>
      </c>
    </row>
    <row r="230">
      <c r="A230" s="20" t="inlineStr">
        <is>
          <t>RVST019-C24-SP</t>
        </is>
      </c>
      <c r="B230" s="21">
        <f>IFERROR(INDEX(Conversion!$C$2:$C$500,MATCH($A230,Conversion!$B$2:$B$500,0)),"NOT ASSIGNED")</f>
        <v/>
      </c>
      <c r="C230" s="22" t="inlineStr">
        <is>
          <t>St.st. hose tail, 1/2" male x 19mm, 24mm collar, inside hose protection spring</t>
        </is>
      </c>
      <c r="D230" s="23" t="inlineStr">
        <is>
          <t>Hose tail, 19 mm x 1/2" M, 24 mm collar, w/ anti-kink spring, stainless steel 316</t>
        </is>
      </c>
      <c r="E230" s="33" t="n">
        <v>0.1</v>
      </c>
      <c r="F230" s="25" t="inlineStr">
        <is>
          <t>ESTIMATE - catalogue gives dimensions only (p.68-71)</t>
        </is>
      </c>
      <c r="G230" s="26" t="n">
        <v>13.946592</v>
      </c>
      <c r="H230" s="26" t="n">
        <v>12.203268</v>
      </c>
      <c r="I230" s="26" t="n">
        <v>11.331606</v>
      </c>
      <c r="J230" s="28">
        <f>IF(G230="","",G230/$C$5*(1+$C$8)+$E230*(1+$C$7)*$C$6)</f>
        <v/>
      </c>
      <c r="K230" s="28">
        <f>IF(H230="","",H230/$C$5*(1+$C$8)+$E230*(1+$C$7)*$C$6)</f>
        <v/>
      </c>
      <c r="L230" s="28">
        <f>IF(I230="","",I230/$C$5*(1+$C$8)+$E230*(1+$C$7)*$C$6)</f>
        <v/>
      </c>
      <c r="M230" s="29">
        <f>IF(J230="","",ROUND(J230*(1+$C$9),2))</f>
        <v/>
      </c>
      <c r="N230" s="29">
        <f>IF(K230="","",ROUND(K230*(1+$C$9),2))</f>
        <v/>
      </c>
      <c r="O230" s="29">
        <f>IF(L230="","",ROUND(L230*(1+$C$9),2))</f>
        <v/>
      </c>
      <c r="P230" s="30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  <c r="R230" s="31" t="n"/>
      <c r="S230" s="8" t="n"/>
      <c r="T230" s="29">
        <f>IF($R230="","",ROUND($R230*(1-N($S230)),2))</f>
        <v/>
      </c>
      <c r="U230" s="32">
        <f>IF(OR($T230="",$T230=0,$J230=""),"",($T230-$J230)/$T230)</f>
        <v/>
      </c>
      <c r="V230" s="32">
        <f>IF(OR($T230="",$T230=0,$K230=""),"",($T230-$K230)/$T230)</f>
        <v/>
      </c>
    </row>
    <row r="231">
      <c r="A231" s="20" t="inlineStr">
        <is>
          <t>RVST025</t>
        </is>
      </c>
      <c r="B231" s="21">
        <f>IFERROR(INDEX(Conversion!$C$2:$C$500,MATCH($A231,Conversion!$B$2:$B$500,0)),"NOT ASSIGNED")</f>
        <v/>
      </c>
      <c r="C231" s="22" t="inlineStr">
        <is>
          <t>St.st. hose tail, 1/2" male x 25mm</t>
        </is>
      </c>
      <c r="D231" s="23" t="inlineStr">
        <is>
          <t>Hose tail, 25 mm x 1/2" M, stainless steel 316</t>
        </is>
      </c>
      <c r="E231" s="33" t="n">
        <v>0.06</v>
      </c>
      <c r="F231" s="25" t="inlineStr">
        <is>
          <t>ESTIMATE - catalogue gives dimensions only (p.68-71)</t>
        </is>
      </c>
      <c r="G231" s="26" t="n">
        <v>14.815152</v>
      </c>
      <c r="H231" s="26" t="n">
        <v>12.963258</v>
      </c>
      <c r="I231" s="26" t="n">
        <v>12.037311</v>
      </c>
      <c r="J231" s="28">
        <f>IF(G231="","",G231/$C$5*(1+$C$8)+$E231*(1+$C$7)*$C$6)</f>
        <v/>
      </c>
      <c r="K231" s="28">
        <f>IF(H231="","",H231/$C$5*(1+$C$8)+$E231*(1+$C$7)*$C$6)</f>
        <v/>
      </c>
      <c r="L231" s="28">
        <f>IF(I231="","",I231/$C$5*(1+$C$8)+$E231*(1+$C$7)*$C$6)</f>
        <v/>
      </c>
      <c r="M231" s="29">
        <f>IF(J231="","",ROUND(J231*(1+$C$9),2))</f>
        <v/>
      </c>
      <c r="N231" s="29">
        <f>IF(K231="","",ROUND(K231*(1+$C$9),2))</f>
        <v/>
      </c>
      <c r="O231" s="29">
        <f>IF(L231="","",ROUND(L231*(1+$C$9),2))</f>
        <v/>
      </c>
      <c r="P231" s="30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  <c r="R231" s="31" t="n"/>
      <c r="S231" s="8" t="n"/>
      <c r="T231" s="29">
        <f>IF($R231="","",ROUND($R231*(1-N($S231)),2))</f>
        <v/>
      </c>
      <c r="U231" s="32">
        <f>IF(OR($T231="",$T231=0,$J231=""),"",($T231-$J231)/$T231)</f>
        <v/>
      </c>
      <c r="V231" s="32">
        <f>IF(OR($T231="",$T231=0,$K231=""),"",($T231-$K231)/$T231)</f>
        <v/>
      </c>
    </row>
    <row r="232"/>
    <row r="233">
      <c r="A233" s="16" t="inlineStr">
        <is>
          <t>Qty break</t>
        </is>
      </c>
      <c r="B233" s="17" t="n"/>
      <c r="C233" s="17" t="n"/>
      <c r="D233" s="17" t="n"/>
      <c r="E233" s="17" t="n"/>
      <c r="F233" s="17" t="n"/>
      <c r="G233" s="18" t="inlineStr">
        <is>
          <t>&lt; 10 pcs</t>
        </is>
      </c>
      <c r="H233" s="18" t="inlineStr">
        <is>
          <t>≥ 10 pcs</t>
        </is>
      </c>
      <c r="I233" s="18" t="inlineStr">
        <is>
          <t>≥ 50 pcs</t>
        </is>
      </c>
      <c r="J233" s="18" t="inlineStr">
        <is>
          <t>&lt; 10 pcs</t>
        </is>
      </c>
      <c r="K233" s="18" t="inlineStr">
        <is>
          <t>≥ 10 pcs</t>
        </is>
      </c>
      <c r="L233" s="18" t="inlineStr">
        <is>
          <t>≥ 50 pcs</t>
        </is>
      </c>
      <c r="M233" s="18" t="inlineStr">
        <is>
          <t>&lt; 10 pcs</t>
        </is>
      </c>
      <c r="N233" s="18" t="inlineStr">
        <is>
          <t>≥ 10 pcs</t>
        </is>
      </c>
      <c r="O233" s="18" t="inlineStr">
        <is>
          <t>≥ 50 pcs</t>
        </is>
      </c>
      <c r="P233" s="17" t="n"/>
      <c r="R233" s="17" t="n"/>
      <c r="S233" s="17" t="n"/>
      <c r="T233" s="17" t="n"/>
      <c r="U233" s="19" t="inlineStr">
        <is>
          <t>&lt; 10 pcs</t>
        </is>
      </c>
      <c r="V233" s="19" t="inlineStr">
        <is>
          <t>≥ 10 pcs</t>
        </is>
      </c>
    </row>
    <row r="234">
      <c r="A234" s="20" t="inlineStr">
        <is>
          <t>RVSW13C17-12C</t>
        </is>
      </c>
      <c r="B234" s="21">
        <f>IFERROR(INDEX(Conversion!$C$2:$C$500,MATCH($A234,Conversion!$B$2:$B$500,0)),"NOT ASSIGNED")</f>
        <v/>
      </c>
      <c r="C234" s="22" t="inlineStr">
        <is>
          <t>St.st. hose tail 13mm x 1/2" BSP female screw cap with conical seal, 17mm collar</t>
        </is>
      </c>
      <c r="D234" s="23" t="inlineStr">
        <is>
          <t>Hose tail w/ union nut, 13 mm x 1/2" F, conical seal, 17 mm collar, stainless steel 316</t>
        </is>
      </c>
      <c r="E234" s="33" t="n">
        <v>0.06</v>
      </c>
      <c r="F234" s="25" t="inlineStr">
        <is>
          <t>ESTIMATE - catalogue gives dimensions only (p.68-71)</t>
        </is>
      </c>
      <c r="G234" s="26" t="n">
        <v>17.43324</v>
      </c>
      <c r="H234" s="26" t="n">
        <v>13.946592</v>
      </c>
      <c r="I234" s="26" t="n">
        <v>12.203268</v>
      </c>
      <c r="J234" s="28">
        <f>IF(G234="","",G234/$C$5*(1+$C$8)+$E234*(1+$C$7)*$C$6)</f>
        <v/>
      </c>
      <c r="K234" s="28">
        <f>IF(H234="","",H234/$C$5*(1+$C$8)+$E234*(1+$C$7)*$C$6)</f>
        <v/>
      </c>
      <c r="L234" s="28">
        <f>IF(I234="","",I234/$C$5*(1+$C$8)+$E234*(1+$C$7)*$C$6)</f>
        <v/>
      </c>
      <c r="M234" s="29">
        <f>IF(J234="","",ROUND(J234*(1+$C$9),2))</f>
        <v/>
      </c>
      <c r="N234" s="29">
        <f>IF(K234="","",ROUND(K234*(1+$C$9),2))</f>
        <v/>
      </c>
      <c r="O234" s="29">
        <f>IF(L234="","",ROUND(L234*(1+$C$9),2))</f>
        <v/>
      </c>
      <c r="P234" s="30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  <c r="R234" s="31" t="n"/>
      <c r="S234" s="8" t="n"/>
      <c r="T234" s="29">
        <f>IF($R234="","",ROUND($R234*(1-N($S234)),2))</f>
        <v/>
      </c>
      <c r="U234" s="32">
        <f>IF(OR($T234="",$T234=0,$J234=""),"",($T234-$J234)/$T234)</f>
        <v/>
      </c>
      <c r="V234" s="32">
        <f>IF(OR($T234="",$T234=0,$K234=""),"",($T234-$K234)/$T234)</f>
        <v/>
      </c>
    </row>
    <row r="235">
      <c r="A235" s="20" t="inlineStr">
        <is>
          <t>RVSW13C17-34F</t>
        </is>
      </c>
      <c r="B235" s="21">
        <f>IFERROR(INDEX(Conversion!$C$2:$C$500,MATCH($A235,Conversion!$B$2:$B$500,0)),"NOT ASSIGNED")</f>
        <v/>
      </c>
      <c r="C235" s="22" t="inlineStr">
        <is>
          <t>St.st. hose tail 13mm x 3/4" BSP female screw cap with flat seal, 17mm collar</t>
        </is>
      </c>
      <c r="D235" s="23" t="inlineStr">
        <is>
          <t>Hose tail w/ union nut, 13 mm x 3/4" F, flat seal, 17 mm collar, stainless steel 316</t>
        </is>
      </c>
      <c r="E235" s="33" t="n">
        <v>0.07000000000000001</v>
      </c>
      <c r="F235" s="25" t="inlineStr">
        <is>
          <t>ESTIMATE - catalogue gives dimensions only (p.68-71)</t>
        </is>
      </c>
      <c r="G235" s="26" t="n">
        <v>17.43324</v>
      </c>
      <c r="H235" s="26" t="n">
        <v>13.946592</v>
      </c>
      <c r="I235" s="26" t="n">
        <v>12.203268</v>
      </c>
      <c r="J235" s="28">
        <f>IF(G235="","",G235/$C$5*(1+$C$8)+$E235*(1+$C$7)*$C$6)</f>
        <v/>
      </c>
      <c r="K235" s="28">
        <f>IF(H235="","",H235/$C$5*(1+$C$8)+$E235*(1+$C$7)*$C$6)</f>
        <v/>
      </c>
      <c r="L235" s="28">
        <f>IF(I235="","",I235/$C$5*(1+$C$8)+$E235*(1+$C$7)*$C$6)</f>
        <v/>
      </c>
      <c r="M235" s="29">
        <f>IF(J235="","",ROUND(J235*(1+$C$9),2))</f>
        <v/>
      </c>
      <c r="N235" s="29">
        <f>IF(K235="","",ROUND(K235*(1+$C$9),2))</f>
        <v/>
      </c>
      <c r="O235" s="29">
        <f>IF(L235="","",ROUND(L235*(1+$C$9),2))</f>
        <v/>
      </c>
      <c r="P235" s="30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  <c r="R235" s="31" t="n"/>
      <c r="S235" s="8" t="n"/>
      <c r="T235" s="29">
        <f>IF($R235="","",ROUND($R235*(1-N($S235)),2))</f>
        <v/>
      </c>
      <c r="U235" s="32">
        <f>IF(OR($T235="",$T235=0,$J235=""),"",($T235-$J235)/$T235)</f>
        <v/>
      </c>
      <c r="V235" s="32">
        <f>IF(OR($T235="",$T235=0,$K235=""),"",($T235-$K235)/$T235)</f>
        <v/>
      </c>
    </row>
    <row r="236">
      <c r="A236" s="20" t="inlineStr">
        <is>
          <t>RVSW13C20-12C</t>
        </is>
      </c>
      <c r="B236" s="21">
        <f>IFERROR(INDEX(Conversion!$C$2:$C$500,MATCH($A236,Conversion!$B$2:$B$500,0)),"NOT ASSIGNED")</f>
        <v/>
      </c>
      <c r="C236" s="22" t="inlineStr">
        <is>
          <t>St.st. hose tail 13mm x 1/2" BSP female screw cap with conical seal, 20mm collar</t>
        </is>
      </c>
      <c r="D236" s="23" t="inlineStr">
        <is>
          <t>Hose tail w/ union nut, 13 mm x 1/2" F, conical seal, 20 mm collar, stainless steel 316</t>
        </is>
      </c>
      <c r="E236" s="33" t="n">
        <v>0.06</v>
      </c>
      <c r="F236" s="25" t="inlineStr">
        <is>
          <t>ESTIMATE - catalogue gives dimensions only (p.68-71)</t>
        </is>
      </c>
      <c r="G236" s="26" t="n">
        <v>17.43324</v>
      </c>
      <c r="H236" s="26" t="n">
        <v>13.946592</v>
      </c>
      <c r="I236" s="26" t="n">
        <v>12.203268</v>
      </c>
      <c r="J236" s="28">
        <f>IF(G236="","",G236/$C$5*(1+$C$8)+$E236*(1+$C$7)*$C$6)</f>
        <v/>
      </c>
      <c r="K236" s="28">
        <f>IF(H236="","",H236/$C$5*(1+$C$8)+$E236*(1+$C$7)*$C$6)</f>
        <v/>
      </c>
      <c r="L236" s="28">
        <f>IF(I236="","",I236/$C$5*(1+$C$8)+$E236*(1+$C$7)*$C$6)</f>
        <v/>
      </c>
      <c r="M236" s="29">
        <f>IF(J236="","",ROUND(J236*(1+$C$9),2))</f>
        <v/>
      </c>
      <c r="N236" s="29">
        <f>IF(K236="","",ROUND(K236*(1+$C$9),2))</f>
        <v/>
      </c>
      <c r="O236" s="29">
        <f>IF(L236="","",ROUND(L236*(1+$C$9),2))</f>
        <v/>
      </c>
      <c r="P236" s="30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  <c r="R236" s="31" t="n"/>
      <c r="S236" s="8" t="n"/>
      <c r="T236" s="29">
        <f>IF($R236="","",ROUND($R236*(1-N($S236)),2))</f>
        <v/>
      </c>
      <c r="U236" s="32">
        <f>IF(OR($T236="",$T236=0,$J236=""),"",($T236-$J236)/$T236)</f>
        <v/>
      </c>
      <c r="V236" s="32">
        <f>IF(OR($T236="",$T236=0,$K236=""),"",($T236-$K236)/$T236)</f>
        <v/>
      </c>
    </row>
    <row r="237">
      <c r="A237" s="20" t="inlineStr">
        <is>
          <t>RVSW13C20-12F</t>
        </is>
      </c>
      <c r="B237" s="21">
        <f>IFERROR(INDEX(Conversion!$C$2:$C$500,MATCH($A237,Conversion!$B$2:$B$500,0)),"NOT ASSIGNED")</f>
        <v/>
      </c>
      <c r="C237" s="22" t="inlineStr">
        <is>
          <t>St.st. hose tail 13mm x 1/2" BSP female screw cap with flat seal, 20mm collar</t>
        </is>
      </c>
      <c r="D237" s="23" t="inlineStr">
        <is>
          <t>Hose tail w/ union nut, 13 mm x 1/2" F, flat seal, 20 mm collar, stainless steel 316</t>
        </is>
      </c>
      <c r="E237" s="33" t="n">
        <v>0.06</v>
      </c>
      <c r="F237" s="25" t="inlineStr">
        <is>
          <t>ESTIMATE - catalogue gives dimensions only (p.68-71)</t>
        </is>
      </c>
      <c r="G237" s="26" t="n">
        <v>17.43324</v>
      </c>
      <c r="H237" s="26" t="n">
        <v>13.946592</v>
      </c>
      <c r="I237" s="26" t="n">
        <v>12.203268</v>
      </c>
      <c r="J237" s="28">
        <f>IF(G237="","",G237/$C$5*(1+$C$8)+$E237*(1+$C$7)*$C$6)</f>
        <v/>
      </c>
      <c r="K237" s="28">
        <f>IF(H237="","",H237/$C$5*(1+$C$8)+$E237*(1+$C$7)*$C$6)</f>
        <v/>
      </c>
      <c r="L237" s="28">
        <f>IF(I237="","",I237/$C$5*(1+$C$8)+$E237*(1+$C$7)*$C$6)</f>
        <v/>
      </c>
      <c r="M237" s="29">
        <f>IF(J237="","",ROUND(J237*(1+$C$9),2))</f>
        <v/>
      </c>
      <c r="N237" s="29">
        <f>IF(K237="","",ROUND(K237*(1+$C$9),2))</f>
        <v/>
      </c>
      <c r="O237" s="29">
        <f>IF(L237="","",ROUND(L237*(1+$C$9),2))</f>
        <v/>
      </c>
      <c r="P237" s="30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  <c r="R237" s="31" t="n"/>
      <c r="S237" s="8" t="n"/>
      <c r="T237" s="29">
        <f>IF($R237="","",ROUND($R237*(1-N($S237)),2))</f>
        <v/>
      </c>
      <c r="U237" s="32">
        <f>IF(OR($T237="",$T237=0,$J237=""),"",($T237-$J237)/$T237)</f>
        <v/>
      </c>
      <c r="V237" s="32">
        <f>IF(OR($T237="",$T237=0,$K237=""),"",($T237-$K237)/$T237)</f>
        <v/>
      </c>
    </row>
    <row r="238">
      <c r="A238" s="20" t="inlineStr">
        <is>
          <t>RVSW13C20-12FS</t>
        </is>
      </c>
      <c r="B238" s="21">
        <f>IFERROR(INDEX(Conversion!$C$2:$C$500,MATCH($A238,Conversion!$B$2:$B$500,0)),"NOT ASSIGNED")</f>
        <v/>
      </c>
      <c r="C238" s="22" t="inlineStr">
        <is>
          <t>St.st. hose tail 13mm x 1/2" BSP female screw cap with flat seal, 20mm collar and spring</t>
        </is>
      </c>
      <c r="D238" s="23" t="inlineStr">
        <is>
          <t>Hose tail w/ union nut, 13 mm x 1/2" F, flat seal, 20 mm collar, w/ anti-kink spring, stainless steel 316</t>
        </is>
      </c>
      <c r="E238" s="33" t="n">
        <v>0.1</v>
      </c>
      <c r="F238" s="25" t="inlineStr">
        <is>
          <t>ESTIMATE - catalogue gives dimensions only (p.68-71)</t>
        </is>
      </c>
      <c r="G238" s="26" t="n">
        <v>24.68158</v>
      </c>
      <c r="H238" s="26" t="n">
        <v>19.745264</v>
      </c>
      <c r="I238" s="26" t="n">
        <v>17.277106</v>
      </c>
      <c r="J238" s="28">
        <f>IF(G238="","",G238/$C$5*(1+$C$8)+$E238*(1+$C$7)*$C$6)</f>
        <v/>
      </c>
      <c r="K238" s="28">
        <f>IF(H238="","",H238/$C$5*(1+$C$8)+$E238*(1+$C$7)*$C$6)</f>
        <v/>
      </c>
      <c r="L238" s="28">
        <f>IF(I238="","",I238/$C$5*(1+$C$8)+$E238*(1+$C$7)*$C$6)</f>
        <v/>
      </c>
      <c r="M238" s="29">
        <f>IF(J238="","",ROUND(J238*(1+$C$9),2))</f>
        <v/>
      </c>
      <c r="N238" s="29">
        <f>IF(K238="","",ROUND(K238*(1+$C$9),2))</f>
        <v/>
      </c>
      <c r="O238" s="29">
        <f>IF(L238="","",ROUND(L238*(1+$C$9),2))</f>
        <v/>
      </c>
      <c r="P238" s="30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  <c r="R238" s="31" t="n"/>
      <c r="S238" s="8" t="n"/>
      <c r="T238" s="29">
        <f>IF($R238="","",ROUND($R238*(1-N($S238)),2))</f>
        <v/>
      </c>
      <c r="U238" s="32">
        <f>IF(OR($T238="",$T238=0,$J238=""),"",($T238-$J238)/$T238)</f>
        <v/>
      </c>
      <c r="V238" s="32">
        <f>IF(OR($T238="",$T238=0,$K238=""),"",($T238-$K238)/$T238)</f>
        <v/>
      </c>
    </row>
    <row r="239">
      <c r="A239" s="20" t="inlineStr">
        <is>
          <t>RVSW13C20-34F</t>
        </is>
      </c>
      <c r="B239" s="21">
        <f>IFERROR(INDEX(Conversion!$C$2:$C$500,MATCH($A239,Conversion!$B$2:$B$500,0)),"NOT ASSIGNED")</f>
        <v/>
      </c>
      <c r="C239" s="22" t="inlineStr">
        <is>
          <t>St.st. hose tail 13mm x 3/4" BSP female screw cap with flat seal, 20mm collar</t>
        </is>
      </c>
      <c r="D239" s="23" t="inlineStr">
        <is>
          <t>Hose tail w/ union nut, 13 mm x 3/4" F, flat seal, 20 mm collar, stainless steel 316</t>
        </is>
      </c>
      <c r="E239" s="33" t="n">
        <v>0.07000000000000001</v>
      </c>
      <c r="F239" s="25" t="inlineStr">
        <is>
          <t>ESTIMATE - catalogue gives dimensions only (p.68-71)</t>
        </is>
      </c>
      <c r="G239" s="26" t="n">
        <v>17.43324</v>
      </c>
      <c r="H239" s="26" t="n">
        <v>13.946592</v>
      </c>
      <c r="I239" s="26" t="n">
        <v>12.203268</v>
      </c>
      <c r="J239" s="28">
        <f>IF(G239="","",G239/$C$5*(1+$C$8)+$E239*(1+$C$7)*$C$6)</f>
        <v/>
      </c>
      <c r="K239" s="28">
        <f>IF(H239="","",H239/$C$5*(1+$C$8)+$E239*(1+$C$7)*$C$6)</f>
        <v/>
      </c>
      <c r="L239" s="28">
        <f>IF(I239="","",I239/$C$5*(1+$C$8)+$E239*(1+$C$7)*$C$6)</f>
        <v/>
      </c>
      <c r="M239" s="29">
        <f>IF(J239="","",ROUND(J239*(1+$C$9),2))</f>
        <v/>
      </c>
      <c r="N239" s="29">
        <f>IF(K239="","",ROUND(K239*(1+$C$9),2))</f>
        <v/>
      </c>
      <c r="O239" s="29">
        <f>IF(L239="","",ROUND(L239*(1+$C$9),2))</f>
        <v/>
      </c>
      <c r="P239" s="30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  <c r="R239" s="31" t="n"/>
      <c r="S239" s="8" t="n"/>
      <c r="T239" s="29">
        <f>IF($R239="","",ROUND($R239*(1-N($S239)),2))</f>
        <v/>
      </c>
      <c r="U239" s="32">
        <f>IF(OR($T239="",$T239=0,$J239=""),"",($T239-$J239)/$T239)</f>
        <v/>
      </c>
      <c r="V239" s="32">
        <f>IF(OR($T239="",$T239=0,$K239=""),"",($T239-$K239)/$T239)</f>
        <v/>
      </c>
    </row>
    <row r="240">
      <c r="A240" s="20" t="inlineStr">
        <is>
          <t>RVSW16C21-12C</t>
        </is>
      </c>
      <c r="B240" s="21">
        <f>IFERROR(INDEX(Conversion!$C$2:$C$500,MATCH($A240,Conversion!$B$2:$B$500,0)),"NOT ASSIGNED")</f>
        <v/>
      </c>
      <c r="C240" s="22" t="inlineStr">
        <is>
          <t>St.st. hose tail 16mm x 1/2" BSP female screw cap with conical seal, 21mm collar</t>
        </is>
      </c>
      <c r="D240" s="23" t="inlineStr">
        <is>
          <t>Hose tail w/ union nut, 16 mm x 1/2" F, conical seal, 21 mm collar, stainless steel 316</t>
        </is>
      </c>
      <c r="E240" s="33" t="n">
        <v>0.07000000000000001</v>
      </c>
      <c r="F240" s="25" t="inlineStr">
        <is>
          <t>ESTIMATE - catalogue gives dimensions only (p.68-71)</t>
        </is>
      </c>
      <c r="G240" s="26" t="n">
        <v>21.02122</v>
      </c>
      <c r="H240" s="26" t="n">
        <v>16.816976</v>
      </c>
      <c r="I240" s="26" t="n">
        <v>14.714854</v>
      </c>
      <c r="J240" s="28">
        <f>IF(G240="","",G240/$C$5*(1+$C$8)+$E240*(1+$C$7)*$C$6)</f>
        <v/>
      </c>
      <c r="K240" s="28">
        <f>IF(H240="","",H240/$C$5*(1+$C$8)+$E240*(1+$C$7)*$C$6)</f>
        <v/>
      </c>
      <c r="L240" s="28">
        <f>IF(I240="","",I240/$C$5*(1+$C$8)+$E240*(1+$C$7)*$C$6)</f>
        <v/>
      </c>
      <c r="M240" s="29">
        <f>IF(J240="","",ROUND(J240*(1+$C$9),2))</f>
        <v/>
      </c>
      <c r="N240" s="29">
        <f>IF(K240="","",ROUND(K240*(1+$C$9),2))</f>
        <v/>
      </c>
      <c r="O240" s="29">
        <f>IF(L240="","",ROUND(L240*(1+$C$9),2))</f>
        <v/>
      </c>
      <c r="P240" s="30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  <c r="R240" s="31" t="n"/>
      <c r="S240" s="8" t="n"/>
      <c r="T240" s="29">
        <f>IF($R240="","",ROUND($R240*(1-N($S240)),2))</f>
        <v/>
      </c>
      <c r="U240" s="32">
        <f>IF(OR($T240="",$T240=0,$J240=""),"",($T240-$J240)/$T240)</f>
        <v/>
      </c>
      <c r="V240" s="32">
        <f>IF(OR($T240="",$T240=0,$K240=""),"",($T240-$K240)/$T240)</f>
        <v/>
      </c>
    </row>
    <row r="241">
      <c r="A241" s="20" t="inlineStr">
        <is>
          <t>RVSW16C21-12CS</t>
        </is>
      </c>
      <c r="B241" s="21">
        <f>IFERROR(INDEX(Conversion!$C$2:$C$500,MATCH($A241,Conversion!$B$2:$B$500,0)),"NOT ASSIGNED")</f>
        <v/>
      </c>
      <c r="C241" s="22" t="inlineStr">
        <is>
          <t>St.st. hose tail 16mm x 1/2" BSP female screw cap with conical seal, 21mm collar and spring</t>
        </is>
      </c>
      <c r="D241" s="23" t="inlineStr">
        <is>
          <t>Hose tail w/ union nut, 16 mm x 1/2" F, conical seal, 21 mm collar, w/ anti-kink spring, stainless steel 316</t>
        </is>
      </c>
      <c r="E241" s="33" t="n">
        <v>0.11</v>
      </c>
      <c r="F241" s="25" t="inlineStr">
        <is>
          <t>ESTIMATE - catalogue gives dimensions only (p.68-71)</t>
        </is>
      </c>
      <c r="G241" s="26" t="n">
        <v>25.61218</v>
      </c>
      <c r="H241" s="26" t="n">
        <v>20.489744</v>
      </c>
      <c r="I241" s="26" t="n">
        <v>17.928526</v>
      </c>
      <c r="J241" s="28">
        <f>IF(G241="","",G241/$C$5*(1+$C$8)+$E241*(1+$C$7)*$C$6)</f>
        <v/>
      </c>
      <c r="K241" s="28">
        <f>IF(H241="","",H241/$C$5*(1+$C$8)+$E241*(1+$C$7)*$C$6)</f>
        <v/>
      </c>
      <c r="L241" s="28">
        <f>IF(I241="","",I241/$C$5*(1+$C$8)+$E241*(1+$C$7)*$C$6)</f>
        <v/>
      </c>
      <c r="M241" s="29">
        <f>IF(J241="","",ROUND(J241*(1+$C$9),2))</f>
        <v/>
      </c>
      <c r="N241" s="29">
        <f>IF(K241="","",ROUND(K241*(1+$C$9),2))</f>
        <v/>
      </c>
      <c r="O241" s="29">
        <f>IF(L241="","",ROUND(L241*(1+$C$9),2))</f>
        <v/>
      </c>
      <c r="P241" s="30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  <c r="R241" s="31" t="n"/>
      <c r="S241" s="8" t="n"/>
      <c r="T241" s="29">
        <f>IF($R241="","",ROUND($R241*(1-N($S241)),2))</f>
        <v/>
      </c>
      <c r="U241" s="32">
        <f>IF(OR($T241="",$T241=0,$J241=""),"",($T241-$J241)/$T241)</f>
        <v/>
      </c>
      <c r="V241" s="32">
        <f>IF(OR($T241="",$T241=0,$K241=""),"",($T241-$K241)/$T241)</f>
        <v/>
      </c>
    </row>
    <row r="242">
      <c r="A242" s="20" t="inlineStr">
        <is>
          <t>RVSW16C21-12F</t>
        </is>
      </c>
      <c r="B242" s="21">
        <f>IFERROR(INDEX(Conversion!$C$2:$C$500,MATCH($A242,Conversion!$B$2:$B$500,0)),"NOT ASSIGNED")</f>
        <v/>
      </c>
      <c r="C242" s="22" t="inlineStr">
        <is>
          <t>St.st. hose tail 16mm x 1/2" BSP female screw cap with flat seal, 21mm collar</t>
        </is>
      </c>
      <c r="D242" s="23" t="inlineStr">
        <is>
          <t>Hose tail w/ union nut, 16 mm x 1/2" F, flat seal, 21 mm collar, stainless steel 316</t>
        </is>
      </c>
      <c r="E242" s="33" t="n">
        <v>0.07000000000000001</v>
      </c>
      <c r="F242" s="25" t="inlineStr">
        <is>
          <t>ESTIMATE - catalogue gives dimensions only (p.68-71)</t>
        </is>
      </c>
      <c r="G242" s="26" t="n">
        <v>25.39504</v>
      </c>
      <c r="H242" s="26" t="n">
        <v>20.316032</v>
      </c>
      <c r="I242" s="26" t="n">
        <v>17.776528</v>
      </c>
      <c r="J242" s="28">
        <f>IF(G242="","",G242/$C$5*(1+$C$8)+$E242*(1+$C$7)*$C$6)</f>
        <v/>
      </c>
      <c r="K242" s="28">
        <f>IF(H242="","",H242/$C$5*(1+$C$8)+$E242*(1+$C$7)*$C$6)</f>
        <v/>
      </c>
      <c r="L242" s="28">
        <f>IF(I242="","",I242/$C$5*(1+$C$8)+$E242*(1+$C$7)*$C$6)</f>
        <v/>
      </c>
      <c r="M242" s="29">
        <f>IF(J242="","",ROUND(J242*(1+$C$9),2))</f>
        <v/>
      </c>
      <c r="N242" s="29">
        <f>IF(K242="","",ROUND(K242*(1+$C$9),2))</f>
        <v/>
      </c>
      <c r="O242" s="29">
        <f>IF(L242="","",ROUND(L242*(1+$C$9),2))</f>
        <v/>
      </c>
      <c r="P242" s="30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  <c r="R242" s="31" t="n"/>
      <c r="S242" s="8" t="n"/>
      <c r="T242" s="29">
        <f>IF($R242="","",ROUND($R242*(1-N($S242)),2))</f>
        <v/>
      </c>
      <c r="U242" s="32">
        <f>IF(OR($T242="",$T242=0,$J242=""),"",($T242-$J242)/$T242)</f>
        <v/>
      </c>
      <c r="V242" s="32">
        <f>IF(OR($T242="",$T242=0,$K242=""),"",($T242-$K242)/$T242)</f>
        <v/>
      </c>
    </row>
    <row r="243">
      <c r="A243" s="20" t="inlineStr">
        <is>
          <t>RVSW16C21-34F</t>
        </is>
      </c>
      <c r="B243" s="21">
        <f>IFERROR(INDEX(Conversion!$C$2:$C$500,MATCH($A243,Conversion!$B$2:$B$500,0)),"NOT ASSIGNED")</f>
        <v/>
      </c>
      <c r="C243" s="22" t="inlineStr">
        <is>
          <t>St.st. hose tail 16mm x 3/4" BSP female screw cap with flat seal, 21mm collar</t>
        </is>
      </c>
      <c r="D243" s="23" t="inlineStr">
        <is>
          <t>Hose tail w/ union nut, 16 mm x 3/4" F, flat seal, 21 mm collar, stainless steel 316</t>
        </is>
      </c>
      <c r="E243" s="33" t="n">
        <v>0.08</v>
      </c>
      <c r="F243" s="25" t="inlineStr">
        <is>
          <t>ESTIMATE - catalogue gives dimensions only (p.68-71)</t>
        </is>
      </c>
      <c r="G243" s="26" t="n">
        <v>25.39504</v>
      </c>
      <c r="H243" s="26" t="n">
        <v>20.316032</v>
      </c>
      <c r="I243" s="26" t="n">
        <v>17.776528</v>
      </c>
      <c r="J243" s="28">
        <f>IF(G243="","",G243/$C$5*(1+$C$8)+$E243*(1+$C$7)*$C$6)</f>
        <v/>
      </c>
      <c r="K243" s="28">
        <f>IF(H243="","",H243/$C$5*(1+$C$8)+$E243*(1+$C$7)*$C$6)</f>
        <v/>
      </c>
      <c r="L243" s="28">
        <f>IF(I243="","",I243/$C$5*(1+$C$8)+$E243*(1+$C$7)*$C$6)</f>
        <v/>
      </c>
      <c r="M243" s="29">
        <f>IF(J243="","",ROUND(J243*(1+$C$9),2))</f>
        <v/>
      </c>
      <c r="N243" s="29">
        <f>IF(K243="","",ROUND(K243*(1+$C$9),2))</f>
        <v/>
      </c>
      <c r="O243" s="29">
        <f>IF(L243="","",ROUND(L243*(1+$C$9),2))</f>
        <v/>
      </c>
      <c r="P243" s="30">
        <f>TRIM(IF($B243="NOT ASSIGNED","No NW part no. ","")&amp;IFERROR(IF(INDEX(Conversion!$J$2:$J$500,MATCH($A243,Conversion!$B$2:$B$500,0))="Needs review","Conversion table: needs review. ",""),"")&amp;IF(LEFT($F243,8)="ESTIMATE","Weight estimated. ","")&amp;"")</f>
        <v/>
      </c>
      <c r="R243" s="31" t="n"/>
      <c r="S243" s="8" t="n"/>
      <c r="T243" s="29">
        <f>IF($R243="","",ROUND($R243*(1-N($S243)),2))</f>
        <v/>
      </c>
      <c r="U243" s="32">
        <f>IF(OR($T243="",$T243=0,$J243=""),"",($T243-$J243)/$T243)</f>
        <v/>
      </c>
      <c r="V243" s="32">
        <f>IF(OR($T243="",$T243=0,$K243=""),"",($T243-$K243)/$T243)</f>
        <v/>
      </c>
    </row>
    <row r="244">
      <c r="A244" s="20" t="inlineStr">
        <is>
          <t>RVSW19C24-34C</t>
        </is>
      </c>
      <c r="B244" s="21">
        <f>IFERROR(INDEX(Conversion!$C$2:$C$500,MATCH($A244,Conversion!$B$2:$B$500,0)),"NOT ASSIGNED")</f>
        <v/>
      </c>
      <c r="C244" s="22" t="inlineStr">
        <is>
          <t>St.st. hose tail 19mm x 3/4" BSP female screw cap with conical seal, 24mm collar</t>
        </is>
      </c>
      <c r="D244" s="23" t="inlineStr">
        <is>
          <t>Hose tail w/ union nut, 19 mm x 3/4" F, conical seal, 24 mm collar, stainless steel 316</t>
        </is>
      </c>
      <c r="E244" s="33" t="n">
        <v>0.09</v>
      </c>
      <c r="F244" s="25" t="inlineStr">
        <is>
          <t>ESTIMATE - catalogue gives dimensions only (p.68-71)</t>
        </is>
      </c>
      <c r="G244" s="26" t="n">
        <v>25.61218</v>
      </c>
      <c r="H244" s="26" t="n">
        <v>20.489744</v>
      </c>
      <c r="I244" s="26" t="n">
        <v>17.928526</v>
      </c>
      <c r="J244" s="28">
        <f>IF(G244="","",G244/$C$5*(1+$C$8)+$E244*(1+$C$7)*$C$6)</f>
        <v/>
      </c>
      <c r="K244" s="28">
        <f>IF(H244="","",H244/$C$5*(1+$C$8)+$E244*(1+$C$7)*$C$6)</f>
        <v/>
      </c>
      <c r="L244" s="28">
        <f>IF(I244="","",I244/$C$5*(1+$C$8)+$E244*(1+$C$7)*$C$6)</f>
        <v/>
      </c>
      <c r="M244" s="29">
        <f>IF(J244="","",ROUND(J244*(1+$C$9),2))</f>
        <v/>
      </c>
      <c r="N244" s="29">
        <f>IF(K244="","",ROUND(K244*(1+$C$9),2))</f>
        <v/>
      </c>
      <c r="O244" s="29">
        <f>IF(L244="","",ROUND(L244*(1+$C$9),2))</f>
        <v/>
      </c>
      <c r="P244" s="30">
        <f>TRIM(IF($B244="NOT ASSIGNED","No NW part no. ","")&amp;IFERROR(IF(INDEX(Conversion!$J$2:$J$500,MATCH($A244,Conversion!$B$2:$B$500,0))="Needs review","Conversion table: needs review. ",""),"")&amp;IF(LEFT($F244,8)="ESTIMATE","Weight estimated. ","")&amp;"")</f>
        <v/>
      </c>
      <c r="R244" s="31" t="n"/>
      <c r="S244" s="8" t="n"/>
      <c r="T244" s="29">
        <f>IF($R244="","",ROUND($R244*(1-N($S244)),2))</f>
        <v/>
      </c>
      <c r="U244" s="32">
        <f>IF(OR($T244="",$T244=0,$J244=""),"",($T244-$J244)/$T244)</f>
        <v/>
      </c>
      <c r="V244" s="32">
        <f>IF(OR($T244="",$T244=0,$K244=""),"",($T244-$K244)/$T244)</f>
        <v/>
      </c>
    </row>
    <row r="245">
      <c r="A245" s="20" t="inlineStr">
        <is>
          <t>RVSW19C24-34F</t>
        </is>
      </c>
      <c r="B245" s="21">
        <f>IFERROR(INDEX(Conversion!$C$2:$C$500,MATCH($A245,Conversion!$B$2:$B$500,0)),"NOT ASSIGNED")</f>
        <v/>
      </c>
      <c r="C245" s="22" t="inlineStr">
        <is>
          <t>St.st. hose tail 19mm x 3/4" BSP female screw cap with flat seal, 24mm collar</t>
        </is>
      </c>
      <c r="D245" s="23" t="inlineStr">
        <is>
          <t>Hose tail w/ union nut, 19 mm x 3/4" F, flat seal, 24 mm collar, stainless steel 316</t>
        </is>
      </c>
      <c r="E245" s="33" t="n">
        <v>0.09</v>
      </c>
      <c r="F245" s="25" t="inlineStr">
        <is>
          <t>ESTIMATE - catalogue gives dimensions only (p.68-71)</t>
        </is>
      </c>
      <c r="G245" s="26" t="n">
        <v>26.4704</v>
      </c>
      <c r="H245" s="26" t="n">
        <v>21.17632</v>
      </c>
      <c r="I245" s="26" t="n">
        <v>18.52928</v>
      </c>
      <c r="J245" s="28">
        <f>IF(G245="","",G245/$C$5*(1+$C$8)+$E245*(1+$C$7)*$C$6)</f>
        <v/>
      </c>
      <c r="K245" s="28">
        <f>IF(H245="","",H245/$C$5*(1+$C$8)+$E245*(1+$C$7)*$C$6)</f>
        <v/>
      </c>
      <c r="L245" s="28">
        <f>IF(I245="","",I245/$C$5*(1+$C$8)+$E245*(1+$C$7)*$C$6)</f>
        <v/>
      </c>
      <c r="M245" s="29">
        <f>IF(J245="","",ROUND(J245*(1+$C$9),2))</f>
        <v/>
      </c>
      <c r="N245" s="29">
        <f>IF(K245="","",ROUND(K245*(1+$C$9),2))</f>
        <v/>
      </c>
      <c r="O245" s="29">
        <f>IF(L245="","",ROUND(L245*(1+$C$9),2))</f>
        <v/>
      </c>
      <c r="P245" s="30">
        <f>TRIM(IF($B245="NOT ASSIGNED","No NW part no. ","")&amp;IFERROR(IF(INDEX(Conversion!$J$2:$J$500,MATCH($A245,Conversion!$B$2:$B$500,0))="Needs review","Conversion table: needs review. ",""),"")&amp;IF(LEFT($F245,8)="ESTIMATE","Weight estimated. ","")&amp;"")</f>
        <v/>
      </c>
      <c r="R245" s="31" t="n"/>
      <c r="S245" s="8" t="n"/>
      <c r="T245" s="29">
        <f>IF($R245="","",ROUND($R245*(1-N($S245)),2))</f>
        <v/>
      </c>
      <c r="U245" s="32">
        <f>IF(OR($T245="",$T245=0,$J245=""),"",($T245-$J245)/$T245)</f>
        <v/>
      </c>
      <c r="V245" s="32">
        <f>IF(OR($T245="",$T245=0,$K245=""),"",($T245-$K245)/$T245)</f>
        <v/>
      </c>
    </row>
    <row r="246">
      <c r="A246" s="20" t="inlineStr">
        <is>
          <t>RVSW19C24-1C</t>
        </is>
      </c>
      <c r="B246" s="21">
        <f>IFERROR(INDEX(Conversion!$C$2:$C$500,MATCH($A246,Conversion!$B$2:$B$500,0)),"NOT ASSIGNED")</f>
        <v/>
      </c>
      <c r="C246" s="22" t="inlineStr">
        <is>
          <t>St.st. hose tail 19mm x 1" BSP female screw cap with conical seal, 24mm collar</t>
        </is>
      </c>
      <c r="D246" s="23" t="inlineStr">
        <is>
          <t>Hose tail w/ union nut, 19 mm x 1" F, conical seal, 24 mm collar, stainless steel 316</t>
        </is>
      </c>
      <c r="E246" s="33" t="n">
        <v>0.11</v>
      </c>
      <c r="F246" s="25" t="inlineStr">
        <is>
          <t>ESTIMATE - catalogue gives dimensions only (p.68-71)</t>
        </is>
      </c>
      <c r="G246" s="26" t="n">
        <v>30.99932</v>
      </c>
      <c r="H246" s="26" t="n">
        <v>24.799456</v>
      </c>
      <c r="I246" s="26" t="n">
        <v>21.699524</v>
      </c>
      <c r="J246" s="28">
        <f>IF(G246="","",G246/$C$5*(1+$C$8)+$E246*(1+$C$7)*$C$6)</f>
        <v/>
      </c>
      <c r="K246" s="28">
        <f>IF(H246="","",H246/$C$5*(1+$C$8)+$E246*(1+$C$7)*$C$6)</f>
        <v/>
      </c>
      <c r="L246" s="28">
        <f>IF(I246="","",I246/$C$5*(1+$C$8)+$E246*(1+$C$7)*$C$6)</f>
        <v/>
      </c>
      <c r="M246" s="29">
        <f>IF(J246="","",ROUND(J246*(1+$C$9),2))</f>
        <v/>
      </c>
      <c r="N246" s="29">
        <f>IF(K246="","",ROUND(K246*(1+$C$9),2))</f>
        <v/>
      </c>
      <c r="O246" s="29">
        <f>IF(L246="","",ROUND(L246*(1+$C$9),2))</f>
        <v/>
      </c>
      <c r="P246" s="30">
        <f>TRIM(IF($B246="NOT ASSIGNED","No NW part no. ","")&amp;IFERROR(IF(INDEX(Conversion!$J$2:$J$500,MATCH($A246,Conversion!$B$2:$B$500,0))="Needs review","Conversion table: needs review. ",""),"")&amp;IF(LEFT($F246,8)="ESTIMATE","Weight estimated. ","")&amp;"")</f>
        <v/>
      </c>
      <c r="R246" s="31" t="n"/>
      <c r="S246" s="8" t="n"/>
      <c r="T246" s="29">
        <f>IF($R246="","",ROUND($R246*(1-N($S246)),2))</f>
        <v/>
      </c>
      <c r="U246" s="32">
        <f>IF(OR($T246="",$T246=0,$J246=""),"",($T246-$J246)/$T246)</f>
        <v/>
      </c>
      <c r="V246" s="32">
        <f>IF(OR($T246="",$T246=0,$K246=""),"",($T246-$K246)/$T246)</f>
        <v/>
      </c>
    </row>
    <row r="247">
      <c r="A247" s="20" t="inlineStr">
        <is>
          <t>RVSW19C24-1F</t>
        </is>
      </c>
      <c r="B247" s="21">
        <f>IFERROR(INDEX(Conversion!$C$2:$C$500,MATCH($A247,Conversion!$B$2:$B$500,0)),"NOT ASSIGNED")</f>
        <v/>
      </c>
      <c r="C247" s="22" t="inlineStr">
        <is>
          <t>St.st. hose tail 19mm x 1" BSP female screw cap with flat seal, 24mm collar</t>
        </is>
      </c>
      <c r="D247" s="23" t="inlineStr">
        <is>
          <t>Hose tail w/ union nut, 19 mm x 1" F, flat seal, 24 mm collar, stainless steel 316</t>
        </is>
      </c>
      <c r="E247" s="33" t="n">
        <v>0.11</v>
      </c>
      <c r="F247" s="25" t="inlineStr">
        <is>
          <t>ESTIMATE - catalogue gives dimensions only (p.68-71)</t>
        </is>
      </c>
      <c r="G247" s="26" t="n">
        <v>32.1057</v>
      </c>
      <c r="H247" s="26" t="n">
        <v>25.68456</v>
      </c>
      <c r="I247" s="26" t="n">
        <v>22.47399</v>
      </c>
      <c r="J247" s="28">
        <f>IF(G247="","",G247/$C$5*(1+$C$8)+$E247*(1+$C$7)*$C$6)</f>
        <v/>
      </c>
      <c r="K247" s="28">
        <f>IF(H247="","",H247/$C$5*(1+$C$8)+$E247*(1+$C$7)*$C$6)</f>
        <v/>
      </c>
      <c r="L247" s="28">
        <f>IF(I247="","",I247/$C$5*(1+$C$8)+$E247*(1+$C$7)*$C$6)</f>
        <v/>
      </c>
      <c r="M247" s="29">
        <f>IF(J247="","",ROUND(J247*(1+$C$9),2))</f>
        <v/>
      </c>
      <c r="N247" s="29">
        <f>IF(K247="","",ROUND(K247*(1+$C$9),2))</f>
        <v/>
      </c>
      <c r="O247" s="29">
        <f>IF(L247="","",ROUND(L247*(1+$C$9),2))</f>
        <v/>
      </c>
      <c r="P247" s="30">
        <f>TRIM(IF($B247="NOT ASSIGNED","No NW part no. ","")&amp;IFERROR(IF(INDEX(Conversion!$J$2:$J$500,MATCH($A247,Conversion!$B$2:$B$500,0))="Needs review","Conversion table: needs review. ",""),"")&amp;IF(LEFT($F247,8)="ESTIMATE","Weight estimated. ","")&amp;"")</f>
        <v/>
      </c>
      <c r="R247" s="31" t="n"/>
      <c r="S247" s="8" t="n"/>
      <c r="T247" s="29">
        <f>IF($R247="","",ROUND($R247*(1-N($S247)),2))</f>
        <v/>
      </c>
      <c r="U247" s="32">
        <f>IF(OR($T247="",$T247=0,$J247=""),"",($T247-$J247)/$T247)</f>
        <v/>
      </c>
      <c r="V247" s="32">
        <f>IF(OR($T247="",$T247=0,$K247=""),"",($T247-$K247)/$T247)</f>
        <v/>
      </c>
    </row>
    <row r="248">
      <c r="A248" s="20" t="inlineStr">
        <is>
          <t>RVSW25C36-1C</t>
        </is>
      </c>
      <c r="B248" s="21">
        <f>IFERROR(INDEX(Conversion!$C$2:$C$500,MATCH($A248,Conversion!$B$2:$B$500,0)),"NOT ASSIGNED")</f>
        <v/>
      </c>
      <c r="C248" s="22" t="inlineStr">
        <is>
          <t>St.st. hose tail 25mm x 1" BSP female screw cap with conical seal, 36mm collar</t>
        </is>
      </c>
      <c r="D248" s="23" t="inlineStr">
        <is>
          <t>Hose tail w/ union nut, 25 mm x 1" F, conical seal, 36 mm collar, stainless steel 316</t>
        </is>
      </c>
      <c r="E248" s="33" t="n">
        <v>0.13</v>
      </c>
      <c r="F248" s="25" t="inlineStr">
        <is>
          <t>ESTIMATE - catalogue gives dimensions only (p.68-71)</t>
        </is>
      </c>
      <c r="G248" s="26" t="n">
        <v>35.70402</v>
      </c>
      <c r="H248" s="26" t="n">
        <v>28.563216</v>
      </c>
      <c r="I248" s="26" t="n">
        <v>24.992814</v>
      </c>
      <c r="J248" s="28">
        <f>IF(G248="","",G248/$C$5*(1+$C$8)+$E248*(1+$C$7)*$C$6)</f>
        <v/>
      </c>
      <c r="K248" s="28">
        <f>IF(H248="","",H248/$C$5*(1+$C$8)+$E248*(1+$C$7)*$C$6)</f>
        <v/>
      </c>
      <c r="L248" s="28">
        <f>IF(I248="","",I248/$C$5*(1+$C$8)+$E248*(1+$C$7)*$C$6)</f>
        <v/>
      </c>
      <c r="M248" s="29">
        <f>IF(J248="","",ROUND(J248*(1+$C$9),2))</f>
        <v/>
      </c>
      <c r="N248" s="29">
        <f>IF(K248="","",ROUND(K248*(1+$C$9),2))</f>
        <v/>
      </c>
      <c r="O248" s="29">
        <f>IF(L248="","",ROUND(L248*(1+$C$9),2))</f>
        <v/>
      </c>
      <c r="P248" s="30">
        <f>TRIM(IF($B248="NOT ASSIGNED","No NW part no. ","")&amp;IFERROR(IF(INDEX(Conversion!$J$2:$J$500,MATCH($A248,Conversion!$B$2:$B$500,0))="Needs review","Conversion table: needs review. ",""),"")&amp;IF(LEFT($F248,8)="ESTIMATE","Weight estimated. ","")&amp;"")</f>
        <v/>
      </c>
      <c r="R248" s="31" t="n"/>
      <c r="S248" s="8" t="n"/>
      <c r="T248" s="29">
        <f>IF($R248="","",ROUND($R248*(1-N($S248)),2))</f>
        <v/>
      </c>
      <c r="U248" s="32">
        <f>IF(OR($T248="",$T248=0,$J248=""),"",($T248-$J248)/$T248)</f>
        <v/>
      </c>
      <c r="V248" s="32">
        <f>IF(OR($T248="",$T248=0,$K248=""),"",($T248-$K248)/$T248)</f>
        <v/>
      </c>
    </row>
  </sheetData>
  <mergeCells count="3">
    <mergeCell ref="G13:I13"/>
    <mergeCell ref="M13:O13"/>
    <mergeCell ref="J13:L13"/>
  </mergeCells>
  <conditionalFormatting sqref="B14:B248">
    <cfRule type="expression" priority="1" dxfId="0">
      <formula>$B14="NOT ASSIGNED"</formula>
    </cfRule>
  </conditionalFormatting>
  <conditionalFormatting sqref="U14:V248">
    <cfRule type="expression" priority="2" dxfId="1">
      <formula>AND(ISNUMBER(U14),U14&lt;$S$7)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6" t="inlineStr">
        <is>
          <t>Category</t>
        </is>
      </c>
      <c r="B1" s="36" t="inlineStr">
        <is>
          <t>AKBO Part Number</t>
        </is>
      </c>
      <c r="C1" s="36" t="inlineStr">
        <is>
          <t>Our Code</t>
        </is>
      </c>
      <c r="D1" s="36" t="inlineStr">
        <is>
          <t>Product Type</t>
        </is>
      </c>
      <c r="E1" s="36" t="inlineStr">
        <is>
          <t>Size / Dimensions / Connection</t>
        </is>
      </c>
      <c r="F1" s="36" t="inlineStr">
        <is>
          <t>Material</t>
        </is>
      </c>
      <c r="G1" s="36" t="inlineStr">
        <is>
          <t>Variant</t>
        </is>
      </c>
      <c r="H1" s="36" t="inlineStr">
        <is>
          <t>Description</t>
        </is>
      </c>
      <c r="I1" s="36" t="inlineStr">
        <is>
          <t>Source Page</t>
        </is>
      </c>
      <c r="J1" s="36" t="inlineStr">
        <is>
          <t>Status</t>
        </is>
      </c>
      <c r="K1" s="36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7" t="inlineStr">
        <is>
          <t>Washdown / cleaning equipment</t>
        </is>
      </c>
      <c r="B23" s="37" t="inlineStr">
        <is>
          <t>AKMNP01-B-SW12</t>
        </is>
      </c>
      <c r="C23" s="37" t="inlineStr">
        <is>
          <t>WD-MNP01-B-SW12</t>
        </is>
      </c>
      <c r="D23" s="37" t="inlineStr">
        <is>
          <t>Brass cleaning gun (insulated trigger)</t>
        </is>
      </c>
      <c r="E23" s="37" t="inlineStr">
        <is>
          <t>with ball bearing swivel, 1/2" BSP female</t>
        </is>
      </c>
      <c r="F23" s="37" t="inlineStr">
        <is>
          <t>Brass HPb59-3</t>
        </is>
      </c>
      <c r="G23" s="37" t="inlineStr">
        <is>
          <t>with trigger guard and swivel</t>
        </is>
      </c>
      <c r="H23" s="37" t="inlineStr">
        <is>
          <t>Brass cleaning gun (insulated trigger), with ball bearing swivel, 1/2" BSP female, Brass HPb59-3, with trigger guard and swivel</t>
        </is>
      </c>
      <c r="I23" s="37" t="inlineStr">
        <is>
          <t>10 - Brass cleaning guns with insulated trigger.pdf</t>
        </is>
      </c>
      <c r="J23" s="37" t="inlineStr">
        <is>
          <t>Needs review</t>
        </is>
      </c>
      <c r="K23" s="37" t="inlineStr">
        <is>
          <t>Page 2 technical-data table header spells this "AKMP01-B-SW12" (missing N) - likely a table typo, confirm before use</t>
        </is>
      </c>
    </row>
    <row r="24">
      <c r="A24" s="37" t="inlineStr">
        <is>
          <t>Washdown / cleaning equipment</t>
        </is>
      </c>
      <c r="B24" s="37" t="inlineStr">
        <is>
          <t>AKMNP01-B-SW34</t>
        </is>
      </c>
      <c r="C24" s="37" t="inlineStr">
        <is>
          <t>WD-MNP01-B-SW34</t>
        </is>
      </c>
      <c r="D24" s="37" t="inlineStr">
        <is>
          <t>Brass cleaning gun (insulated trigger)</t>
        </is>
      </c>
      <c r="E24" s="37" t="inlineStr">
        <is>
          <t>with ball bearing swivel, 3/4" BSP female</t>
        </is>
      </c>
      <c r="F24" s="37" t="inlineStr">
        <is>
          <t>Brass HPb59-3</t>
        </is>
      </c>
      <c r="G24" s="37" t="inlineStr">
        <is>
          <t>with trigger guard and swivel</t>
        </is>
      </c>
      <c r="H24" s="37" t="inlineStr">
        <is>
          <t>Brass cleaning gun (insulated trigger), with ball bearing swivel, 3/4" BSP female, Brass HPb59-3, with trigger guard and swivel</t>
        </is>
      </c>
      <c r="I24" s="37" t="inlineStr">
        <is>
          <t>10 - Brass cleaning guns with insulated trigger.pdf</t>
        </is>
      </c>
      <c r="J24" s="37" t="inlineStr">
        <is>
          <t>Needs review</t>
        </is>
      </c>
      <c r="K24" s="37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7" t="inlineStr">
        <is>
          <t>Washdown / cleaning equipment</t>
        </is>
      </c>
      <c r="B30" s="37" t="inlineStr">
        <is>
          <t>AKCNP01-W-SW12</t>
        </is>
      </c>
      <c r="C30" s="37" t="inlineStr">
        <is>
          <t>WD-CNP01-W-SW12</t>
        </is>
      </c>
      <c r="D30" s="37" t="inlineStr">
        <is>
          <t>Chrome-plated brass cleaning gun</t>
        </is>
      </c>
      <c r="E30" s="37" t="inlineStr">
        <is>
          <t>with swivel, brochure states 3/4" BSP female</t>
        </is>
      </c>
      <c r="F30" s="37" t="inlineStr">
        <is>
          <t>Brass HPb59-3 + chrome layer</t>
        </is>
      </c>
      <c r="G30" s="37" t="inlineStr">
        <is>
          <t>white, with swivel</t>
        </is>
      </c>
      <c r="H30" s="37" t="inlineStr">
        <is>
          <t>Chrome-plated brass cleaning gun, with swivel, brochure states 3/4" BSP female, Brass HPb59-3 + chrome layer, white, with swivel</t>
        </is>
      </c>
      <c r="I30" s="37" t="inlineStr">
        <is>
          <t>11 - Chrome-plated brass cleaning guns.pdf</t>
        </is>
      </c>
      <c r="J30" s="37" t="inlineStr">
        <is>
          <t>Needs review</t>
        </is>
      </c>
      <c r="K30" s="37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7" t="inlineStr">
        <is>
          <t>Washdown / cleaning equipment</t>
        </is>
      </c>
      <c r="B33" s="37" t="inlineStr">
        <is>
          <t>AKRB001-BL</t>
        </is>
      </c>
      <c r="C33" s="37" t="inlineStr">
        <is>
          <t>WD-RB001-BL</t>
        </is>
      </c>
      <c r="D33" s="37" t="inlineStr">
        <is>
          <t>Stainless steel cleaning gun (AISI 316), high flow</t>
        </is>
      </c>
      <c r="E33" s="37" t="inlineStr">
        <is>
          <t>1/2" BSP female</t>
        </is>
      </c>
      <c r="F33" s="37" t="inlineStr">
        <is>
          <t>Stainless steel AISI 316</t>
        </is>
      </c>
      <c r="G33" s="37" t="inlineStr">
        <is>
          <t>black, high flow</t>
        </is>
      </c>
      <c r="H33" s="37" t="inlineStr">
        <is>
          <t>Stainless steel cleaning gun (AISI 316), high flow, 1/2" BSP female, Stainless steel AISI 316, black, high flow</t>
        </is>
      </c>
      <c r="I33" s="37" t="inlineStr">
        <is>
          <t>12 - Stainless steel cleaning guns (AISI 316).pdf</t>
        </is>
      </c>
      <c r="J33" s="37" t="inlineStr">
        <is>
          <t>Needs review</t>
        </is>
      </c>
      <c r="K33" s="37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7" t="inlineStr">
        <is>
          <t>Washdown / cleaning equipment</t>
        </is>
      </c>
      <c r="B45" s="37" t="inlineStr">
        <is>
          <t>AKNNA02-B</t>
        </is>
      </c>
      <c r="C45" s="37" t="inlineStr">
        <is>
          <t>WD-NNA02-B</t>
        </is>
      </c>
      <c r="D45" s="37" t="inlineStr">
        <is>
          <t>Lightweight cleaning gun</t>
        </is>
      </c>
      <c r="E45" s="37" t="inlineStr">
        <is>
          <t>chrome-plated brass adapter at outlet</t>
        </is>
      </c>
      <c r="F45" s="37" t="inlineStr">
        <is>
          <t>Plastic PA66</t>
        </is>
      </c>
      <c r="G45" s="37" t="n"/>
      <c r="H45" s="37" t="inlineStr">
        <is>
          <t>Lightweight cleaning gun, chrome-plated brass adapter at outlet, Plastic PA66</t>
        </is>
      </c>
      <c r="I45" s="37" t="inlineStr">
        <is>
          <t>13 - Lightweight cleaning gun.pdf</t>
        </is>
      </c>
      <c r="J45" s="37" t="inlineStr">
        <is>
          <t>Needs review</t>
        </is>
      </c>
      <c r="K45" s="37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7" t="inlineStr">
        <is>
          <t>Washdown / cleaning equipment</t>
        </is>
      </c>
      <c r="B51" s="37" t="inlineStr">
        <is>
          <t>AKMBP01-B-SWM14-3/4</t>
        </is>
      </c>
      <c r="C51" s="37" t="inlineStr">
        <is>
          <t>WD-MBP01-B-SWM14-3/4</t>
        </is>
      </c>
      <c r="D51" s="37" t="inlineStr">
        <is>
          <t>High-flow cleaning gun</t>
        </is>
      </c>
      <c r="E51" s="37" t="inlineStr">
        <is>
          <t>with swivel, 3/4" BSP female</t>
        </is>
      </c>
      <c r="F51" s="37" t="inlineStr">
        <is>
          <t>Brass</t>
        </is>
      </c>
      <c r="G51" s="37" t="inlineStr">
        <is>
          <t>with trigger guard and swivel</t>
        </is>
      </c>
      <c r="H51" s="37" t="inlineStr">
        <is>
          <t>High-flow cleaning gun, with swivel, 3/4" BSP female, Brass, with trigger guard and swivel</t>
        </is>
      </c>
      <c r="I51" s="37" t="inlineStr">
        <is>
          <t>16 - High-flow cleaning guns.pdf</t>
        </is>
      </c>
      <c r="J51" s="37" t="inlineStr">
        <is>
          <t>Needs review</t>
        </is>
      </c>
      <c r="K51" s="37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7" t="inlineStr">
        <is>
          <t>Washdown / cleaning equipment</t>
        </is>
      </c>
      <c r="B52" s="37" t="inlineStr">
        <is>
          <t>AKRHP01-R</t>
        </is>
      </c>
      <c r="C52" s="37" t="inlineStr">
        <is>
          <t>WD-RHP01-R</t>
        </is>
      </c>
      <c r="D52" s="37" t="inlineStr">
        <is>
          <t>Hot-water cleaning gun (AISI 316)</t>
        </is>
      </c>
      <c r="E52" s="37" t="inlineStr">
        <is>
          <t>1/2" BSP female</t>
        </is>
      </c>
      <c r="F52" s="37" t="inlineStr">
        <is>
          <t>Stainless steel AISI 316</t>
        </is>
      </c>
      <c r="G52" s="37" t="inlineStr">
        <is>
          <t>red, base model</t>
        </is>
      </c>
      <c r="H52" s="37" t="inlineStr">
        <is>
          <t>Hot-water cleaning gun (AISI 316), 1/2" BSP female, Stainless steel AISI 316, red, base model</t>
        </is>
      </c>
      <c r="I52" s="37" t="inlineStr">
        <is>
          <t>17 - Cleaning guns for hot water in stainless steel (AISI 316).pdf</t>
        </is>
      </c>
      <c r="J52" s="37" t="inlineStr">
        <is>
          <t>Needs review</t>
        </is>
      </c>
      <c r="K52" s="37" t="inlineStr">
        <is>
          <t>Body text calls the base model "AKRHP01-R" but the technical-data table heads its column "AKRHP02-R" - confirm which is correct with AKBO</t>
        </is>
      </c>
    </row>
    <row r="53">
      <c r="A53" s="37" t="inlineStr">
        <is>
          <t>Washdown / cleaning equipment</t>
        </is>
      </c>
      <c r="B53" s="37" t="inlineStr">
        <is>
          <t>AKRHP02-R-L40</t>
        </is>
      </c>
      <c r="C53" s="37" t="inlineStr">
        <is>
          <t>WD-RHP02-R-L40</t>
        </is>
      </c>
      <c r="D53" s="37" t="inlineStr">
        <is>
          <t>Hot-water cleaning gun (AISI 316), lance version</t>
        </is>
      </c>
      <c r="E53" s="37" t="inlineStr">
        <is>
          <t>1/2" BSP female, 40cm lance</t>
        </is>
      </c>
      <c r="F53" s="37" t="inlineStr">
        <is>
          <t>Stainless steel AISI 316</t>
        </is>
      </c>
      <c r="G53" s="37" t="inlineStr">
        <is>
          <t>red, with lance</t>
        </is>
      </c>
      <c r="H53" s="37" t="inlineStr">
        <is>
          <t>Hot-water cleaning gun (AISI 316), lance version, 1/2" BSP female, 40cm lance, Stainless steel AISI 316, red, with lance</t>
        </is>
      </c>
      <c r="I53" s="37" t="inlineStr">
        <is>
          <t>17 - Cleaning guns for hot water in stainless steel (AISI 316).pdf</t>
        </is>
      </c>
      <c r="J53" s="37" t="inlineStr">
        <is>
          <t>Needs review</t>
        </is>
      </c>
      <c r="K53" s="37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7" t="inlineStr">
        <is>
          <t>Washdown / cleaning equipment</t>
        </is>
      </c>
      <c r="B61" s="37" t="inlineStr">
        <is>
          <t>AK53800A1</t>
        </is>
      </c>
      <c r="C61" s="37" t="inlineStr">
        <is>
          <t>WD-53800A1</t>
        </is>
      </c>
      <c r="D61" s="37" t="inlineStr">
        <is>
          <t>NiTO I cleaning gun</t>
        </is>
      </c>
      <c r="E61" s="37" t="inlineStr">
        <is>
          <t>1/2" NiTO quick-connect inlet</t>
        </is>
      </c>
      <c r="F61" s="37" t="inlineStr">
        <is>
          <t>Not stated in catalogue</t>
        </is>
      </c>
      <c r="G61" s="37" t="n"/>
      <c r="H61" s="37" t="inlineStr">
        <is>
          <t>NiTO I cleaning gun, 1/2" NiTO quick-connect inlet, Not stated in catalogue</t>
        </is>
      </c>
      <c r="I61" s="37" t="inlineStr">
        <is>
          <t>25 - NiTO I cleaning gun.pdf</t>
        </is>
      </c>
      <c r="J61" s="37" t="inlineStr">
        <is>
          <t>Needs review</t>
        </is>
      </c>
      <c r="K61" s="37" t="inlineStr">
        <is>
          <t>Material not stated in catalogue - confirm before quoting on material-sensitive jobs</t>
        </is>
      </c>
    </row>
    <row r="62">
      <c r="A62" s="37" t="inlineStr">
        <is>
          <t>Washdown / cleaning equipment</t>
        </is>
      </c>
      <c r="B62" s="37" t="inlineStr">
        <is>
          <t>AK30550A3</t>
        </is>
      </c>
      <c r="C62" s="37" t="inlineStr">
        <is>
          <t>WD-30550A3</t>
        </is>
      </c>
      <c r="D62" s="37" t="inlineStr">
        <is>
          <t>NiTO II cleaning gun</t>
        </is>
      </c>
      <c r="E62" s="37" t="inlineStr">
        <is>
          <t>NiTO quick-connect inlet</t>
        </is>
      </c>
      <c r="F62" s="37" t="inlineStr">
        <is>
          <t>Not stated in catalogue</t>
        </is>
      </c>
      <c r="G62" s="37" t="n"/>
      <c r="H62" s="37" t="inlineStr">
        <is>
          <t>NiTO II cleaning gun, NiTO quick-connect inlet, Not stated in catalogue</t>
        </is>
      </c>
      <c r="I62" s="37" t="inlineStr">
        <is>
          <t>26 - NiTO II cleaning gun.pdf</t>
        </is>
      </c>
      <c r="J62" s="37" t="inlineStr">
        <is>
          <t>Needs review</t>
        </is>
      </c>
      <c r="K62" s="37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7" t="inlineStr">
        <is>
          <t>Washdown / cleaning equipment</t>
        </is>
      </c>
      <c r="B63" s="37" t="inlineStr">
        <is>
          <t>AK40255A3</t>
        </is>
      </c>
      <c r="C63" s="37" t="inlineStr">
        <is>
          <t>WD-40255A3</t>
        </is>
      </c>
      <c r="D63" s="37" t="inlineStr">
        <is>
          <t>NiTO ERGO hot-water gun</t>
        </is>
      </c>
      <c r="E63" s="37" t="inlineStr">
        <is>
          <t>NiTO quick-connect inlet</t>
        </is>
      </c>
      <c r="F63" s="37" t="inlineStr">
        <is>
          <t>Not stated in catalogue</t>
        </is>
      </c>
      <c r="G63" s="37" t="n"/>
      <c r="H63" s="37" t="inlineStr">
        <is>
          <t>NiTO ERGO hot-water gun, NiTO quick-connect inlet, Not stated in catalogue</t>
        </is>
      </c>
      <c r="I63" s="37" t="inlineStr">
        <is>
          <t>27 - NiTO ERGO hot-water gun.pdf</t>
        </is>
      </c>
      <c r="J63" s="37" t="inlineStr">
        <is>
          <t>Needs review</t>
        </is>
      </c>
      <c r="K63" s="37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7" t="inlineStr">
        <is>
          <t>Washdown / cleaning equipment</t>
        </is>
      </c>
      <c r="B71" s="37" t="inlineStr">
        <is>
          <t>BABTLF1-BL</t>
        </is>
      </c>
      <c r="C71" s="37" t="inlineStr">
        <is>
          <t>WD-BABTLF1-BL</t>
        </is>
      </c>
      <c r="D71" s="37" t="inlineStr">
        <is>
          <t>Baby series gun for lance mounting</t>
        </is>
      </c>
      <c r="E71" s="37" t="inlineStr">
        <is>
          <t>1/2" BSP female outlet and inlet</t>
        </is>
      </c>
      <c r="F71" s="37" t="inlineStr">
        <is>
          <t>Aluminium</t>
        </is>
      </c>
      <c r="G71" s="37" t="inlineStr">
        <is>
          <t>black</t>
        </is>
      </c>
      <c r="H71" s="37" t="inlineStr">
        <is>
          <t>Baby series gun for lance mounting, 1/2" BSP female outlet and inlet, Aluminium, black</t>
        </is>
      </c>
      <c r="I71" s="37" t="inlineStr">
        <is>
          <t>31 - Cleaning guns for lance mounting, Baby series.pdf</t>
        </is>
      </c>
      <c r="J71" s="37" t="inlineStr">
        <is>
          <t>Needs review</t>
        </is>
      </c>
      <c r="K71" s="37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7" t="inlineStr">
        <is>
          <t>Washdown / cleaning equipment</t>
        </is>
      </c>
      <c r="B75" s="37" t="inlineStr">
        <is>
          <t>AKMSHHL1-BL</t>
        </is>
      </c>
      <c r="C75" s="37" t="inlineStr">
        <is>
          <t>WD-MSHHL1-BL</t>
        </is>
      </c>
      <c r="D75" s="37" t="inlineStr">
        <is>
          <t>Water-saving spray head</t>
        </is>
      </c>
      <c r="E75" s="37" t="inlineStr">
        <is>
          <t>head only, 1/2" BSPP male</t>
        </is>
      </c>
      <c r="F75" s="37" t="inlineStr">
        <is>
          <t>Brass HPb59-3 and POM</t>
        </is>
      </c>
      <c r="G75" s="37" t="inlineStr">
        <is>
          <t>black, head only</t>
        </is>
      </c>
      <c r="H75" s="37" t="inlineStr">
        <is>
          <t>Water-saving spray head, head only, 1/2" BSPP male, Brass HPb59-3 and POM, black, head only</t>
        </is>
      </c>
      <c r="I75" s="37" t="inlineStr">
        <is>
          <t>44 - Water-saving spray head.pdf</t>
        </is>
      </c>
      <c r="J75" s="37" t="inlineStr">
        <is>
          <t>Needs review</t>
        </is>
      </c>
      <c r="K75" s="37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7" t="inlineStr">
        <is>
          <t>Washdown / cleaning equipment</t>
        </is>
      </c>
      <c r="B76" s="37" t="inlineStr">
        <is>
          <t>AKRSHHL1-BL</t>
        </is>
      </c>
      <c r="C76" s="37" t="inlineStr">
        <is>
          <t>WD-RSHHL1-BL</t>
        </is>
      </c>
      <c r="D76" s="37" t="inlineStr">
        <is>
          <t>Water-saving spray head</t>
        </is>
      </c>
      <c r="E76" s="37" t="inlineStr">
        <is>
          <t>head only, 1/2" BSPP male</t>
        </is>
      </c>
      <c r="F76" s="37" t="inlineStr">
        <is>
          <t>Stainless steel AISI 304 and POM</t>
        </is>
      </c>
      <c r="G76" s="37" t="inlineStr">
        <is>
          <t>black, head only</t>
        </is>
      </c>
      <c r="H76" s="37" t="inlineStr">
        <is>
          <t>Water-saving spray head, head only, 1/2" BSPP male, Stainless steel AISI 304 and POM, black, head only</t>
        </is>
      </c>
      <c r="I76" s="37" t="inlineStr">
        <is>
          <t>44 - Water-saving spray head.pdf</t>
        </is>
      </c>
      <c r="J76" s="37" t="inlineStr">
        <is>
          <t>Needs review</t>
        </is>
      </c>
      <c r="K76" s="37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7" t="inlineStr">
        <is>
          <t>Washdown / cleaning equipment</t>
        </is>
      </c>
      <c r="B83" s="37" t="inlineStr">
        <is>
          <t>AKRSHW3-W</t>
        </is>
      </c>
      <c r="C83" s="37" t="inlineStr">
        <is>
          <t>WD-RSHW3-W</t>
        </is>
      </c>
      <c r="D83" s="37" t="inlineStr">
        <is>
          <t>Robust spray head</t>
        </is>
      </c>
      <c r="E83" s="37" t="inlineStr">
        <is>
          <t>with handle, 1/2" BSP female</t>
        </is>
      </c>
      <c r="F83" s="37" t="inlineStr">
        <is>
          <t>Stainless steel AISI 304 interior, POM housing</t>
        </is>
      </c>
      <c r="G83" s="37" t="inlineStr">
        <is>
          <t>white</t>
        </is>
      </c>
      <c r="H83" s="37" t="inlineStr">
        <is>
          <t>Robust spray head, with handle, 1/2" BSP female, Stainless steel AISI 304 interior, POM housing, white</t>
        </is>
      </c>
      <c r="I83" s="37" t="inlineStr">
        <is>
          <t>45 - Robust spray head.pdf</t>
        </is>
      </c>
      <c r="J83" s="37" t="inlineStr">
        <is>
          <t>Needs review</t>
        </is>
      </c>
      <c r="K83" s="37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8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8" t="n">
        <v>0.84</v>
      </c>
      <c r="C101" s="4" t="inlineStr">
        <is>
          <t>ESTIMATE - not tabulated; taken as AKMB001-BL</t>
        </is>
      </c>
    </row>
    <row r="102">
      <c r="A102" s="4" t="inlineStr">
        <is>
          <t>KLML002-B</t>
        </is>
      </c>
      <c r="B102" s="38" t="n">
        <v>0.84</v>
      </c>
      <c r="C102" s="4" t="inlineStr">
        <is>
          <t>ESTIMATE - not in catalogue; taken as KLMN001 (p.9)</t>
        </is>
      </c>
    </row>
    <row r="103">
      <c r="A103" s="4" t="inlineStr">
        <is>
          <t>AKCL002-B</t>
        </is>
      </c>
      <c r="B103" s="38" t="n">
        <v>0.867</v>
      </c>
      <c r="C103" s="4" t="inlineStr">
        <is>
          <t>ESTIMATE - not in catalogue; taken as AKCN001-B (p.13)</t>
        </is>
      </c>
    </row>
    <row r="104">
      <c r="A104" s="4" t="inlineStr">
        <is>
          <t>AKRL002-B</t>
        </is>
      </c>
      <c r="B104" s="38" t="n">
        <v>0.8129999999999999</v>
      </c>
      <c r="C104" s="4" t="inlineStr">
        <is>
          <t>ESTIMATE - not in catalogue; taken as AKRN001 (p.15)</t>
        </is>
      </c>
    </row>
    <row r="105">
      <c r="A105" s="4" t="inlineStr">
        <is>
          <t>AKNL002-B</t>
        </is>
      </c>
      <c r="B105" s="38" t="n">
        <v>0.48</v>
      </c>
      <c r="C105" s="4" t="inlineStr">
        <is>
          <t>ESTIMATE - not in catalogue; taken as AKNN001-B (p.17)</t>
        </is>
      </c>
    </row>
    <row r="106">
      <c r="A106" s="4" t="inlineStr">
        <is>
          <t>BABTA01-B</t>
        </is>
      </c>
      <c r="B106" s="38" t="n">
        <v>0.365</v>
      </c>
      <c r="C106" s="4" t="inlineStr">
        <is>
          <t>ESTIMATE - not in catalogue; taken as BABTLF1-BL</t>
        </is>
      </c>
    </row>
    <row r="107">
      <c r="A107" s="4" t="inlineStr">
        <is>
          <t>BABTNAA-B</t>
        </is>
      </c>
      <c r="B107" s="38" t="n">
        <v>0.37</v>
      </c>
      <c r="C107" s="4" t="inlineStr">
        <is>
          <t>ESTIMATE - not in catalogue; BABTN01-B + adapters</t>
        </is>
      </c>
    </row>
    <row r="108">
      <c r="A108" s="4" t="inlineStr">
        <is>
          <t>BMBTL01-B</t>
        </is>
      </c>
      <c r="B108" s="38" t="n">
        <v>0.65</v>
      </c>
      <c r="C108" s="4" t="inlineStr">
        <is>
          <t>ESTIMATE - not in catalogue; taken as BMBNN01-B</t>
        </is>
      </c>
    </row>
    <row r="109">
      <c r="A109" s="4" t="inlineStr">
        <is>
          <t>BMBTA01-B</t>
        </is>
      </c>
      <c r="B109" s="38" t="n">
        <v>0.65</v>
      </c>
      <c r="C109" s="4" t="inlineStr">
        <is>
          <t>ESTIMATE - not in catalogue; taken as BMBNN01-B</t>
        </is>
      </c>
    </row>
    <row r="110">
      <c r="A110" s="4" t="inlineStr">
        <is>
          <t>BMBTA02-B-V</t>
        </is>
      </c>
      <c r="B110" s="38" t="n">
        <v>0.65</v>
      </c>
      <c r="C110" s="4" t="inlineStr">
        <is>
          <t>ESTIMATE - not in catalogue; taken as BMBNN01-B</t>
        </is>
      </c>
    </row>
    <row r="111">
      <c r="A111" s="4" t="inlineStr">
        <is>
          <t>AKMSHHL1-BL</t>
        </is>
      </c>
      <c r="B111" s="38" t="n">
        <v>0.21</v>
      </c>
      <c r="C111" s="4" t="inlineStr">
        <is>
          <t>ESTIMATE - AKMSHL1-B 510 g less GRIPML1-B 300 g (p.53/55)</t>
        </is>
      </c>
    </row>
    <row r="112">
      <c r="A112" s="4" t="inlineStr">
        <is>
          <t>AKRSHHL1-BL</t>
        </is>
      </c>
      <c r="B112" s="38" t="n">
        <v>0.21</v>
      </c>
      <c r="C112" s="4" t="inlineStr">
        <is>
          <t>ESTIMATE - AKRSHL1-B 550 g less GRIPRL1-B 340 g (p.53/55)</t>
        </is>
      </c>
    </row>
    <row r="113">
      <c r="A113" s="4" t="inlineStr">
        <is>
          <t>AKWMS01</t>
        </is>
      </c>
      <c r="B113" s="38" t="n">
        <v>0.3</v>
      </c>
      <c r="C113" s="4" t="inlineStr">
        <is>
          <t>ESTIMATE - weight not in catalogue (p.45)</t>
        </is>
      </c>
    </row>
    <row r="114">
      <c r="A114" s="4" t="inlineStr">
        <is>
          <t>AKWMM01</t>
        </is>
      </c>
      <c r="B114" s="38" t="n">
        <v>0.3</v>
      </c>
      <c r="C114" s="4" t="inlineStr">
        <is>
          <t>ESTIMATE - weight not in catalogue (p.45)</t>
        </is>
      </c>
    </row>
    <row r="115">
      <c r="A115" s="4" t="inlineStr">
        <is>
          <t>AKWML01</t>
        </is>
      </c>
      <c r="B115" s="38" t="n">
        <v>0.3</v>
      </c>
      <c r="C115" s="4" t="inlineStr">
        <is>
          <t>ESTIMATE - weight not in catalogue (p.45)</t>
        </is>
      </c>
    </row>
    <row r="116">
      <c r="A116" s="4" t="inlineStr">
        <is>
          <t>AKWMR01</t>
        </is>
      </c>
      <c r="B116" s="38" t="n">
        <v>0.3</v>
      </c>
      <c r="C116" s="4" t="inlineStr">
        <is>
          <t>ESTIMATE - weight not in catalogue (p.45)</t>
        </is>
      </c>
    </row>
    <row r="117">
      <c r="A117" s="4" t="inlineStr">
        <is>
          <t>AKWRS01</t>
        </is>
      </c>
      <c r="B117" s="38" t="n">
        <v>0.3</v>
      </c>
      <c r="C117" s="4" t="inlineStr">
        <is>
          <t>ESTIMATE - weight not in catalogue (p.45)</t>
        </is>
      </c>
    </row>
    <row r="118">
      <c r="A118" s="4" t="inlineStr">
        <is>
          <t>AKWRM01</t>
        </is>
      </c>
      <c r="B118" s="38" t="n">
        <v>0.3</v>
      </c>
      <c r="C118" s="4" t="inlineStr">
        <is>
          <t>ESTIMATE - weight not in catalogue (p.45)</t>
        </is>
      </c>
    </row>
    <row r="119">
      <c r="A119" s="4" t="inlineStr">
        <is>
          <t>AKWRL01</t>
        </is>
      </c>
      <c r="B119" s="38" t="n">
        <v>0.3</v>
      </c>
      <c r="C119" s="4" t="inlineStr">
        <is>
          <t>ESTIMATE - weight not in catalogue (p.45)</t>
        </is>
      </c>
    </row>
    <row r="120">
      <c r="A120" s="4" t="inlineStr">
        <is>
          <t>AKWRR01</t>
        </is>
      </c>
      <c r="B120" s="38" t="n">
        <v>0.3</v>
      </c>
      <c r="C120" s="4" t="inlineStr">
        <is>
          <t>ESTIMATE - weight not in catalogue (p.45)</t>
        </is>
      </c>
    </row>
    <row r="121">
      <c r="A121" s="4" t="inlineStr">
        <is>
          <t>BWNM045</t>
        </is>
      </c>
      <c r="B121" s="38" t="n">
        <v>0.25</v>
      </c>
      <c r="C121" s="4" t="inlineStr">
        <is>
          <t>ESTIMATE - weight not in catalogue (p.46)</t>
        </is>
      </c>
    </row>
    <row r="122">
      <c r="A122" s="4" t="inlineStr">
        <is>
          <t>AKKS003-B-19</t>
        </is>
      </c>
      <c r="B122" s="38" t="n">
        <v>0.3</v>
      </c>
      <c r="C122" s="4" t="inlineStr">
        <is>
          <t>ESTIMATE - 260 g shower (p.26) + MESC019 hose tail est.</t>
        </is>
      </c>
    </row>
    <row r="123">
      <c r="A123" s="4" t="inlineStr">
        <is>
          <t>AKKS003-W-19</t>
        </is>
      </c>
      <c r="B123" s="38" t="n">
        <v>0.3</v>
      </c>
      <c r="C123" s="4" t="inlineStr">
        <is>
          <t>ESTIMATE - 260 g shower (p.26) + MESC019 hose tail est.</t>
        </is>
      </c>
    </row>
    <row r="124">
      <c r="A124" s="4" t="inlineStr">
        <is>
          <t>BALR001-B</t>
        </is>
      </c>
      <c r="B124" s="38" t="n">
        <v>0.4</v>
      </c>
      <c r="C124" s="4" t="inlineStr">
        <is>
          <t>ESTIMATE - weight not in catalogue (p.38)</t>
        </is>
      </c>
    </row>
    <row r="125">
      <c r="A125" s="4" t="inlineStr">
        <is>
          <t>BALRCP1-B</t>
        </is>
      </c>
      <c r="B125" s="38" t="n">
        <v>0.55</v>
      </c>
      <c r="C125" s="4" t="inlineStr">
        <is>
          <t>ESTIMATE - weight not in catalogue (p.38)</t>
        </is>
      </c>
    </row>
    <row r="126">
      <c r="A126" s="4" t="inlineStr">
        <is>
          <t>BALRCP1-NB</t>
        </is>
      </c>
      <c r="B126" s="38" t="n">
        <v>0.55</v>
      </c>
      <c r="C126" s="4" t="inlineStr">
        <is>
          <t>ESTIMATE - weight not in catalogue (p.38)</t>
        </is>
      </c>
    </row>
    <row r="127">
      <c r="A127" s="4" t="inlineStr">
        <is>
          <t>BARRCP2-B</t>
        </is>
      </c>
      <c r="B127" s="38" t="n">
        <v>0.6</v>
      </c>
      <c r="C127" s="4" t="inlineStr">
        <is>
          <t>ESTIMATE - weight not in catalogue (p.38)</t>
        </is>
      </c>
    </row>
    <row r="128">
      <c r="A128" s="4" t="inlineStr">
        <is>
          <t>SWM09-12</t>
        </is>
      </c>
      <c r="B128" s="38" t="n">
        <v>0.09</v>
      </c>
      <c r="C128" s="4" t="inlineStr">
        <is>
          <t>ESTIMATE - catalogue gives dimensions only (p.68-71)</t>
        </is>
      </c>
    </row>
    <row r="129">
      <c r="A129" s="4" t="inlineStr">
        <is>
          <t>SWM09-34</t>
        </is>
      </c>
      <c r="B129" s="38" t="n">
        <v>0.1</v>
      </c>
      <c r="C129" s="4" t="inlineStr">
        <is>
          <t>ESTIMATE - catalogue gives dimensions only (p.68-71)</t>
        </is>
      </c>
    </row>
    <row r="130">
      <c r="A130" s="4" t="inlineStr">
        <is>
          <t>SWM14-34</t>
        </is>
      </c>
      <c r="B130" s="38" t="n">
        <v>0.13</v>
      </c>
      <c r="C130" s="4" t="inlineStr">
        <is>
          <t>ESTIMATE - catalogue gives dimensions only (p.68-71)</t>
        </is>
      </c>
    </row>
    <row r="131">
      <c r="A131" s="4" t="inlineStr">
        <is>
          <t>SWM14-34X34</t>
        </is>
      </c>
      <c r="B131" s="38" t="n">
        <v>0.15</v>
      </c>
      <c r="C131" s="4" t="inlineStr">
        <is>
          <t>ESTIMATE - catalogue gives dimensions only (p.68-71)</t>
        </is>
      </c>
    </row>
    <row r="132">
      <c r="A132" s="4" t="inlineStr">
        <is>
          <t>SWM18-1X1</t>
        </is>
      </c>
      <c r="B132" s="38" t="n">
        <v>0.25</v>
      </c>
      <c r="C132" s="4" t="inlineStr">
        <is>
          <t>ESTIMATE - catalogue gives dimensions only (p.68-71)</t>
        </is>
      </c>
    </row>
    <row r="133">
      <c r="A133" s="4" t="inlineStr">
        <is>
          <t>SWM09-12MX12M</t>
        </is>
      </c>
      <c r="B133" s="38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SWM09-12MX34M</t>
        </is>
      </c>
      <c r="B134" s="38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SWC09-12</t>
        </is>
      </c>
      <c r="B135" s="38" t="n">
        <v>0.09</v>
      </c>
      <c r="C135" s="4" t="inlineStr">
        <is>
          <t>ESTIMATE - catalogue gives dimensions only (p.68-71)</t>
        </is>
      </c>
    </row>
    <row r="136">
      <c r="A136" s="4" t="inlineStr">
        <is>
          <t>SWC09-34</t>
        </is>
      </c>
      <c r="B136" s="38" t="n">
        <v>0.1</v>
      </c>
      <c r="C136" s="4" t="inlineStr">
        <is>
          <t>ESTIMATE - catalogue gives dimensions only (p.68-71)</t>
        </is>
      </c>
    </row>
    <row r="137">
      <c r="A137" s="4" t="inlineStr">
        <is>
          <t>SWR09-12</t>
        </is>
      </c>
      <c r="B137" s="38" t="n">
        <v>0.09</v>
      </c>
      <c r="C137" s="4" t="inlineStr">
        <is>
          <t>ESTIMATE - catalogue gives dimensions only (p.68-71)</t>
        </is>
      </c>
    </row>
    <row r="138">
      <c r="A138" s="4" t="inlineStr">
        <is>
          <t>SWR09-34</t>
        </is>
      </c>
      <c r="B138" s="38" t="n">
        <v>0.1</v>
      </c>
      <c r="C138" s="4" t="inlineStr">
        <is>
          <t>ESTIMATE - catalogue gives dimensions only (p.68-71)</t>
        </is>
      </c>
    </row>
    <row r="139">
      <c r="A139" s="4" t="inlineStr">
        <is>
          <t>SWR14-34</t>
        </is>
      </c>
      <c r="B139" s="38" t="n">
        <v>0.13</v>
      </c>
      <c r="C139" s="4" t="inlineStr">
        <is>
          <t>ESTIMATE - catalogue gives dimensions only (p.68-71)</t>
        </is>
      </c>
    </row>
    <row r="140">
      <c r="A140" s="4" t="inlineStr">
        <is>
          <t>SWR14-34X34</t>
        </is>
      </c>
      <c r="B140" s="38" t="n">
        <v>0.15</v>
      </c>
      <c r="C140" s="4" t="inlineStr">
        <is>
          <t>ESTIMATE - catalogue gives dimensions only (p.68-71)</t>
        </is>
      </c>
    </row>
    <row r="141">
      <c r="A141" s="4" t="inlineStr">
        <is>
          <t>SWR18-1X1</t>
        </is>
      </c>
      <c r="B141" s="38" t="n">
        <v>0.25</v>
      </c>
      <c r="C141" s="4" t="inlineStr">
        <is>
          <t>ESTIMATE - catalogue gives dimensions only (p.68-71)</t>
        </is>
      </c>
    </row>
    <row r="142">
      <c r="A142" s="4" t="inlineStr">
        <is>
          <t>SWR09-12Mx12M</t>
        </is>
      </c>
      <c r="B142" s="38" t="n">
        <v>0.09</v>
      </c>
      <c r="C142" s="4" t="inlineStr">
        <is>
          <t>ESTIMATE - catalogue gives dimensions only (p.68-71)</t>
        </is>
      </c>
    </row>
    <row r="143">
      <c r="A143" s="4" t="inlineStr">
        <is>
          <t>SWR09-12MX34M</t>
        </is>
      </c>
      <c r="B143" s="38" t="n">
        <v>0.1</v>
      </c>
      <c r="C143" s="4" t="inlineStr">
        <is>
          <t>ESTIMATE - catalogue gives dimensions only (p.68-71)</t>
        </is>
      </c>
    </row>
    <row r="144">
      <c r="A144" s="4" t="inlineStr">
        <is>
          <t>SWIFM1/2</t>
        </is>
      </c>
      <c r="B144" s="38" t="n">
        <v>0.06</v>
      </c>
      <c r="C144" s="4" t="inlineStr">
        <is>
          <t>ESTIMATE - catalogue gives dimensions only (p.68-71)</t>
        </is>
      </c>
    </row>
    <row r="145">
      <c r="A145" s="4" t="inlineStr">
        <is>
          <t>SWIFR1/2</t>
        </is>
      </c>
      <c r="B145" s="38" t="n">
        <v>0.06</v>
      </c>
      <c r="C145" s="4" t="inlineStr">
        <is>
          <t>ESTIMATE - catalogue gives dimensions only (p.68-71)</t>
        </is>
      </c>
    </row>
    <row r="146">
      <c r="A146" s="4" t="inlineStr">
        <is>
          <t>SWIFB10</t>
        </is>
      </c>
      <c r="B146" s="38" t="n">
        <v>0.08</v>
      </c>
      <c r="C146" s="4" t="inlineStr">
        <is>
          <t>ESTIMATE - catalogue gives dimensions only (p.68-71)</t>
        </is>
      </c>
    </row>
    <row r="147">
      <c r="A147" s="4" t="inlineStr">
        <is>
          <t>SWIFB13-C17</t>
        </is>
      </c>
      <c r="B147" s="38" t="n">
        <v>0.09</v>
      </c>
      <c r="C147" s="4" t="inlineStr">
        <is>
          <t>ESTIMATE - catalogue gives dimensions only (p.68-71)</t>
        </is>
      </c>
    </row>
    <row r="148">
      <c r="A148" s="4" t="inlineStr">
        <is>
          <t>SWIFB13-C17-SP</t>
        </is>
      </c>
      <c r="B148" s="38" t="n">
        <v>0.13</v>
      </c>
      <c r="C148" s="4" t="inlineStr">
        <is>
          <t>ESTIMATE - catalogue gives dimensions only (p.68-71)</t>
        </is>
      </c>
    </row>
    <row r="149">
      <c r="A149" s="4" t="inlineStr">
        <is>
          <t>SWIFB13-C20</t>
        </is>
      </c>
      <c r="B149" s="38" t="n">
        <v>0.09</v>
      </c>
      <c r="C149" s="4" t="inlineStr">
        <is>
          <t>ESTIMATE - catalogue gives dimensions only (p.68-71)</t>
        </is>
      </c>
    </row>
    <row r="150">
      <c r="A150" s="4" t="inlineStr">
        <is>
          <t>SWIFB13-C20-SP</t>
        </is>
      </c>
      <c r="B150" s="38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SWIFB16-C21</t>
        </is>
      </c>
      <c r="B151" s="38" t="n">
        <v>0.1</v>
      </c>
      <c r="C151" s="4" t="inlineStr">
        <is>
          <t>ESTIMATE - catalogue gives dimensions only (p.68-71)</t>
        </is>
      </c>
    </row>
    <row r="152">
      <c r="A152" s="4" t="inlineStr">
        <is>
          <t>SWIFB16-C21-SP</t>
        </is>
      </c>
      <c r="B152" s="38" t="n">
        <v>0.14</v>
      </c>
      <c r="C152" s="4" t="inlineStr">
        <is>
          <t>ESTIMATE - catalogue gives dimensions only (p.68-71)</t>
        </is>
      </c>
    </row>
    <row r="153">
      <c r="A153" s="4" t="inlineStr">
        <is>
          <t>SWIFB19-C24</t>
        </is>
      </c>
      <c r="B153" s="38" t="n">
        <v>0.12</v>
      </c>
      <c r="C153" s="4" t="inlineStr">
        <is>
          <t>ESTIMATE - catalogue gives dimensions only (p.68-71)</t>
        </is>
      </c>
    </row>
    <row r="154">
      <c r="A154" s="4" t="inlineStr">
        <is>
          <t>SWIFB19-C24-34</t>
        </is>
      </c>
      <c r="B154" s="38" t="n">
        <v>0.13</v>
      </c>
      <c r="C154" s="4" t="inlineStr">
        <is>
          <t>ESTIMATE - catalogue gives dimensions only (p.68-71)</t>
        </is>
      </c>
    </row>
    <row r="155">
      <c r="A155" s="4" t="inlineStr">
        <is>
          <t>SWIFB19-C24-34S</t>
        </is>
      </c>
      <c r="B155" s="38" t="n">
        <v>0.17</v>
      </c>
      <c r="C155" s="4" t="inlineStr">
        <is>
          <t>ESTIMATE - catalogue gives dimensions only (p.68-71)</t>
        </is>
      </c>
    </row>
    <row r="156">
      <c r="A156" s="4" t="inlineStr">
        <is>
          <t>SWIFB19-C24-SP</t>
        </is>
      </c>
      <c r="B156" s="38" t="n">
        <v>0.16</v>
      </c>
      <c r="C156" s="4" t="inlineStr">
        <is>
          <t>ESTIMATE - catalogue gives dimensions only (p.68-71)</t>
        </is>
      </c>
    </row>
    <row r="157">
      <c r="A157" s="4" t="inlineStr">
        <is>
          <t>MESS013</t>
        </is>
      </c>
      <c r="B157" s="38" t="n">
        <v>0.03</v>
      </c>
      <c r="C157" s="4" t="inlineStr">
        <is>
          <t>ESTIMATE - catalogue gives dimensions only (p.68-71)</t>
        </is>
      </c>
    </row>
    <row r="158">
      <c r="A158" s="4" t="inlineStr">
        <is>
          <t>MESS019</t>
        </is>
      </c>
      <c r="B158" s="38" t="n">
        <v>0.04</v>
      </c>
      <c r="C158" s="4" t="inlineStr">
        <is>
          <t>ESTIMATE - catalogue gives dimensions only (p.68-71)</t>
        </is>
      </c>
    </row>
    <row r="159">
      <c r="A159" s="4" t="inlineStr">
        <is>
          <t>MESS025</t>
        </is>
      </c>
      <c r="B159" s="38" t="n">
        <v>0.06</v>
      </c>
      <c r="C159" s="4" t="inlineStr">
        <is>
          <t>ESTIMATE - catalogue gives dimensions only (p.68-71)</t>
        </is>
      </c>
    </row>
    <row r="160">
      <c r="A160" s="4" t="inlineStr">
        <is>
          <t>MESC013</t>
        </is>
      </c>
      <c r="B160" s="38" t="n">
        <v>0.035</v>
      </c>
      <c r="C160" s="4" t="inlineStr">
        <is>
          <t>ESTIMATE - catalogue gives dimensions only (p.68-71)</t>
        </is>
      </c>
    </row>
    <row r="161">
      <c r="A161" s="4" t="inlineStr">
        <is>
          <t>MESC016</t>
        </is>
      </c>
      <c r="B161" s="38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MESC019</t>
        </is>
      </c>
      <c r="B162" s="38" t="n">
        <v>0.045</v>
      </c>
      <c r="C162" s="4" t="inlineStr">
        <is>
          <t>ESTIMATE - catalogue gives dimensions only (p.68-71)</t>
        </is>
      </c>
    </row>
    <row r="163">
      <c r="A163" s="4" t="inlineStr">
        <is>
          <t>RVST013-C17</t>
        </is>
      </c>
      <c r="B163" s="38" t="n">
        <v>0.04</v>
      </c>
      <c r="C163" s="4" t="inlineStr">
        <is>
          <t>ESTIMATE - catalogue gives dimensions only (p.68-71)</t>
        </is>
      </c>
    </row>
    <row r="164">
      <c r="A164" s="4" t="inlineStr">
        <is>
          <t>RVST013-C17-SP</t>
        </is>
      </c>
      <c r="B164" s="38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RVST013-C20</t>
        </is>
      </c>
      <c r="B165" s="38" t="n">
        <v>0.04</v>
      </c>
      <c r="C165" s="4" t="inlineStr">
        <is>
          <t>ESTIMATE - catalogue gives dimensions only (p.68-71)</t>
        </is>
      </c>
    </row>
    <row r="166">
      <c r="A166" s="4" t="inlineStr">
        <is>
          <t>RVST013-C20-12F</t>
        </is>
      </c>
      <c r="B166" s="38" t="n">
        <v>0.05</v>
      </c>
      <c r="C166" s="4" t="inlineStr">
        <is>
          <t>ESTIMATE - catalogue gives dimensions only (p.68-71)</t>
        </is>
      </c>
    </row>
    <row r="167">
      <c r="A167" s="4" t="inlineStr">
        <is>
          <t>RVST013-C20-34F</t>
        </is>
      </c>
      <c r="B167" s="38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RVST013-C20-SP</t>
        </is>
      </c>
      <c r="B168" s="38" t="n">
        <v>0.08</v>
      </c>
      <c r="C168" s="4" t="inlineStr">
        <is>
          <t>ESTIMATE - catalogue gives dimensions only (p.68-71)</t>
        </is>
      </c>
    </row>
    <row r="169">
      <c r="A169" s="4" t="inlineStr">
        <is>
          <t>RVST016-C21</t>
        </is>
      </c>
      <c r="B169" s="38" t="n">
        <v>0.05</v>
      </c>
      <c r="C169" s="4" t="inlineStr">
        <is>
          <t>ESTIMATE - catalogue gives dimensions only (p.68-71)</t>
        </is>
      </c>
    </row>
    <row r="170">
      <c r="A170" s="4" t="inlineStr">
        <is>
          <t>RVST016-C21-SP</t>
        </is>
      </c>
      <c r="B170" s="38" t="n">
        <v>0.09</v>
      </c>
      <c r="C170" s="4" t="inlineStr">
        <is>
          <t>ESTIMATE - catalogue gives dimensions only (p.68-71)</t>
        </is>
      </c>
    </row>
    <row r="171">
      <c r="A171" s="4" t="inlineStr">
        <is>
          <t>RVST019-C24</t>
        </is>
      </c>
      <c r="B171" s="38" t="n">
        <v>0.06</v>
      </c>
      <c r="C171" s="4" t="inlineStr">
        <is>
          <t>ESTIMATE - catalogue gives dimensions only (p.68-71)</t>
        </is>
      </c>
    </row>
    <row r="172">
      <c r="A172" s="4" t="inlineStr">
        <is>
          <t>RVST019-C24-SP</t>
        </is>
      </c>
      <c r="B172" s="38" t="n">
        <v>0.1</v>
      </c>
      <c r="C172" s="4" t="inlineStr">
        <is>
          <t>ESTIMATE - catalogue gives dimensions only (p.68-71)</t>
        </is>
      </c>
    </row>
    <row r="173">
      <c r="A173" s="4" t="inlineStr">
        <is>
          <t>RVST025</t>
        </is>
      </c>
      <c r="B173" s="38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RVSW13C17-12C</t>
        </is>
      </c>
      <c r="B174" s="38" t="n">
        <v>0.06</v>
      </c>
      <c r="C174" s="4" t="inlineStr">
        <is>
          <t>ESTIMATE - catalogue gives dimensions only (p.68-71)</t>
        </is>
      </c>
    </row>
    <row r="175">
      <c r="A175" s="4" t="inlineStr">
        <is>
          <t>RVSW13C17-34F</t>
        </is>
      </c>
      <c r="B175" s="38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RVSW13C20-12C</t>
        </is>
      </c>
      <c r="B176" s="38" t="n">
        <v>0.06</v>
      </c>
      <c r="C176" s="4" t="inlineStr">
        <is>
          <t>ESTIMATE - catalogue gives dimensions only (p.68-71)</t>
        </is>
      </c>
    </row>
    <row r="177">
      <c r="A177" s="4" t="inlineStr">
        <is>
          <t>RVSW13C20-12F</t>
        </is>
      </c>
      <c r="B177" s="38" t="n">
        <v>0.06</v>
      </c>
      <c r="C177" s="4" t="inlineStr">
        <is>
          <t>ESTIMATE - catalogue gives dimensions only (p.68-71)</t>
        </is>
      </c>
    </row>
    <row r="178">
      <c r="A178" s="4" t="inlineStr">
        <is>
          <t>RVSW13C20-12FS</t>
        </is>
      </c>
      <c r="B178" s="38" t="n">
        <v>0.1</v>
      </c>
      <c r="C178" s="4" t="inlineStr">
        <is>
          <t>ESTIMATE - catalogue gives dimensions only (p.68-71)</t>
        </is>
      </c>
    </row>
    <row r="179">
      <c r="A179" s="4" t="inlineStr">
        <is>
          <t>RVSW13C20-34F</t>
        </is>
      </c>
      <c r="B179" s="38" t="n">
        <v>0.07000000000000001</v>
      </c>
      <c r="C179" s="4" t="inlineStr">
        <is>
          <t>ESTIMATE - catalogue gives dimensions only (p.68-71)</t>
        </is>
      </c>
    </row>
    <row r="180">
      <c r="A180" s="4" t="inlineStr">
        <is>
          <t>RVSW16C21-12C</t>
        </is>
      </c>
      <c r="B180" s="38" t="n">
        <v>0.07000000000000001</v>
      </c>
      <c r="C180" s="4" t="inlineStr">
        <is>
          <t>ESTIMATE - catalogue gives dimensions only (p.68-71)</t>
        </is>
      </c>
    </row>
    <row r="181">
      <c r="A181" s="4" t="inlineStr">
        <is>
          <t>RVSW16C21-12CS</t>
        </is>
      </c>
      <c r="B181" s="38" t="n">
        <v>0.11</v>
      </c>
      <c r="C181" s="4" t="inlineStr">
        <is>
          <t>ESTIMATE - catalogue gives dimensions only (p.68-71)</t>
        </is>
      </c>
    </row>
    <row r="182">
      <c r="A182" s="4" t="inlineStr">
        <is>
          <t>RVSW16C21-12F</t>
        </is>
      </c>
      <c r="B182" s="38" t="n">
        <v>0.07000000000000001</v>
      </c>
      <c r="C182" s="4" t="inlineStr">
        <is>
          <t>ESTIMATE - catalogue gives dimensions only (p.68-71)</t>
        </is>
      </c>
    </row>
    <row r="183">
      <c r="A183" s="4" t="inlineStr">
        <is>
          <t>RVSW16C21-34F</t>
        </is>
      </c>
      <c r="B183" s="38" t="n">
        <v>0.08</v>
      </c>
      <c r="C183" s="4" t="inlineStr">
        <is>
          <t>ESTIMATE - catalogue gives dimensions only (p.68-71)</t>
        </is>
      </c>
    </row>
    <row r="184">
      <c r="A184" s="4" t="inlineStr">
        <is>
          <t>RVSW19C24-34C</t>
        </is>
      </c>
      <c r="B184" s="38" t="n">
        <v>0.09</v>
      </c>
      <c r="C184" s="4" t="inlineStr">
        <is>
          <t>ESTIMATE - catalogue gives dimensions only (p.68-71)</t>
        </is>
      </c>
    </row>
    <row r="185">
      <c r="A185" s="4" t="inlineStr">
        <is>
          <t>RVSW19C24-34F</t>
        </is>
      </c>
      <c r="B185" s="38" t="n">
        <v>0.09</v>
      </c>
      <c r="C185" s="4" t="inlineStr">
        <is>
          <t>ESTIMATE - catalogue gives dimensions only (p.68-71)</t>
        </is>
      </c>
    </row>
    <row r="186">
      <c r="A186" s="4" t="inlineStr">
        <is>
          <t>RVSW19C24-1C</t>
        </is>
      </c>
      <c r="B186" s="38" t="n">
        <v>0.11</v>
      </c>
      <c r="C186" s="4" t="inlineStr">
        <is>
          <t>ESTIMATE - catalogue gives dimensions only (p.68-71)</t>
        </is>
      </c>
    </row>
    <row r="187">
      <c r="A187" s="4" t="inlineStr">
        <is>
          <t>RVSW19C24-1F</t>
        </is>
      </c>
      <c r="B187" s="38" t="n">
        <v>0.11</v>
      </c>
      <c r="C187" s="4" t="inlineStr">
        <is>
          <t>ESTIMATE - catalogue gives dimensions only (p.68-71)</t>
        </is>
      </c>
    </row>
    <row r="188">
      <c r="A188" s="4" t="inlineStr">
        <is>
          <t>RVSW25C36-1C</t>
        </is>
      </c>
      <c r="B188" s="38" t="n">
        <v>0.13</v>
      </c>
      <c r="C188" s="4" t="inlineStr">
        <is>
          <t>ESTIMATE - catalogue gives dimensions only (p.68-71)</t>
        </is>
      </c>
    </row>
    <row r="190">
      <c r="A190" s="3" t="inlineStr">
        <is>
          <t>3. Part-number / data queries</t>
        </is>
      </c>
    </row>
    <row r="191">
      <c r="A191" s="4" t="inlineStr">
        <is>
          <t>BRFTP03-B-PRIN</t>
        </is>
      </c>
      <c r="C191" s="4" t="inlineStr">
        <is>
          <t>Pricelist code BRFTP03 vs catalogue/conversion BRFTP13 - confirm with AKBO.</t>
        </is>
      </c>
    </row>
    <row r="192">
      <c r="A192" s="4" t="inlineStr">
        <is>
          <t>AKR001-B</t>
        </is>
      </c>
      <c r="C192" s="4" t="inlineStr">
        <is>
          <t>Catalogue code is AKRS001-B - confirm with AKBO.</t>
        </is>
      </c>
    </row>
    <row r="193">
      <c r="A193" s="4" t="inlineStr">
        <is>
          <t>AKMBP01-BL</t>
        </is>
      </c>
      <c r="C193" s="4" t="inlineStr">
        <is>
          <t>Catalogue only lists AKMBP01-B-SWM14-3/4 (with swivel) - confirm model.</t>
        </is>
      </c>
    </row>
    <row r="194">
      <c r="A194" s="4" t="inlineStr">
        <is>
          <t>AKRB001-BL</t>
        </is>
      </c>
      <c r="C194" s="4" t="inlineStr">
        <is>
          <t>Not in Classic High-Flow brochure (brass only) - series name to confirm.</t>
        </is>
      </c>
    </row>
    <row r="195">
      <c r="A195" s="4" t="inlineStr">
        <is>
          <t>AKRB001-BL</t>
        </is>
      </c>
      <c r="C195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6">
      <c r="A196" s="4" t="inlineStr">
        <is>
          <t>AKRHP01-R</t>
        </is>
      </c>
      <c r="C196" s="4" t="inlineStr">
        <is>
          <t>Conversion table: Body text calls the base model "AKRHP01-R" but the technical-data table heads its column "AKRHP02-R" - confirm which is correct with AKBO</t>
        </is>
      </c>
    </row>
    <row r="197">
      <c r="A197" s="4" t="inlineStr">
        <is>
          <t>AKRHP02-R-L40</t>
        </is>
      </c>
      <c r="C197" s="4" t="inlineStr">
        <is>
          <t>Conversion table: Table heading drops the "-R-" and reads "AKRHP02-L40" - confirm exact number with AKBO</t>
        </is>
      </c>
    </row>
    <row r="198">
      <c r="A198" s="4" t="inlineStr">
        <is>
          <t>BABTLF1-BL</t>
        </is>
      </c>
      <c r="C198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9">
      <c r="A199" s="4" t="inlineStr">
        <is>
          <t>AKMSHHL1-BL</t>
        </is>
      </c>
      <c r="C199" s="4" t="inlineStr">
        <is>
          <t>Conversion table: Technical-data table only lists dimensions/weight for the with-handle assemblies (AKMSHL1-B/AKRSHL1-B) - head-only weight not separately tabulated on this page</t>
        </is>
      </c>
    </row>
    <row r="200">
      <c r="A200" s="4" t="inlineStr">
        <is>
          <t>AKRSHHL1-BL</t>
        </is>
      </c>
      <c r="C200" s="4" t="inlineStr">
        <is>
          <t>Conversion table: Technical-data table only lists dimensions/weight for the with-handle assemblies - head-only weight not separately tabulated on this page</t>
        </is>
      </c>
    </row>
    <row r="201">
      <c r="A201" s="4" t="inlineStr">
        <is>
          <t>AKRSHW3-W</t>
        </is>
      </c>
      <c r="C201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202">
      <c r="A202" s="4" t="inlineStr">
        <is>
          <t>AGIL572 / AKAWLU1-B</t>
        </is>
      </c>
      <c r="C202" s="4" t="inlineStr">
        <is>
          <t>AKBO give one price plus a pack-qty offer (48 pcs EUR 9.87 / 20 pcs EUR 66.81) - priced at the first break, offer kept as a note.</t>
        </is>
      </c>
    </row>
    <row r="203">
      <c r="A203" s="4" t="inlineStr">
        <is>
          <t>Heavy duty spray guns</t>
        </is>
      </c>
      <c r="C203" s="4" t="inlineStr">
        <is>
          <t>AKBO give no &gt;=50 pcs price for most guns - left blank.</t>
        </is>
      </c>
    </row>
    <row r="205">
      <c r="A205" s="3" t="inlineStr">
        <is>
          <t>4. AKBO items left off the pricelist (not sold by Nozzleworks)</t>
        </is>
      </c>
    </row>
    <row r="206">
      <c r="A206" s="4" t="inlineStr">
        <is>
          <t>AKMNP01-B-SW12</t>
        </is>
      </c>
      <c r="B206" s="4" t="inlineStr">
        <is>
          <t>Brass water gun, with trigger protection, ball bearing swivel input 1/2"F, blue</t>
        </is>
      </c>
      <c r="C206" s="4" t="inlineStr">
        <is>
          <t>Swivel variant - not sold (removed from v3 brochures).</t>
        </is>
      </c>
    </row>
    <row r="207">
      <c r="A207" s="4" t="inlineStr">
        <is>
          <t>AKMNP01-B-SW34</t>
        </is>
      </c>
      <c r="B207" s="4" t="inlineStr">
        <is>
          <t>Brass water gun, with trigger protection, ball bearing swivel input 3/4"F, blue</t>
        </is>
      </c>
      <c r="C207" s="4" t="inlineStr">
        <is>
          <t>Swivel variant - not sold (removed from v3 brochures).</t>
        </is>
      </c>
    </row>
  </sheetData>
  <conditionalFormatting sqref="C5:C95">
    <cfRule type="expression" priority="1" dxfId="2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2026-10-06T20:55:13Z</dcterms:created>
  <dcterms:modified xsi:type="dcterms:W3CDTF">2026-10-06T20:55:13Z</dcterms:modified>
</cp:coreProperties>
</file>