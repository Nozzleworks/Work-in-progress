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list" sheetId="1" state="visible" r:id="rId1"/>
    <sheet name="Conversion" sheetId="2" state="visible" r:id="rId2"/>
    <sheet name="Flags" sheetId="3" state="visible" r:id="rId3"/>
  </sheets>
  <definedNames>
    <definedName name="_xlnm.Print_Titles" localSheetId="0">'Pricelist'!$13:$13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$#,##0.00"/>
    <numFmt numFmtId="166" formatCode="0.0%"/>
    <numFmt numFmtId="167" formatCode="€#,##0.00;(€#,##0.00);&quot;-&quot;"/>
    <numFmt numFmtId="168" formatCode="$#,##0.00;($#,##0.00);&quot;-&quot;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9"/>
    </font>
    <font>
      <name val="Arial"/>
      <sz val="9"/>
    </font>
    <font>
      <name val="Arial"/>
      <color rgb="000000FF"/>
      <sz val="9"/>
    </font>
    <font>
      <name val="Arial"/>
      <i val="1"/>
      <color rgb="00666666"/>
      <sz val="8"/>
    </font>
    <font>
      <name val="Arial"/>
      <i val="1"/>
      <sz val="8"/>
    </font>
    <font>
      <name val="Arial"/>
      <b val="1"/>
      <color rgb="00FFFFFF"/>
      <sz val="9"/>
    </font>
    <font>
      <name val="Arial"/>
      <b val="1"/>
      <color rgb="00FFFFFF"/>
      <sz val="11"/>
    </font>
    <font>
      <name val="Arial"/>
      <color rgb="00666666"/>
      <sz val="8"/>
    </font>
    <font>
      <name val="Arial"/>
      <sz val="8"/>
    </font>
  </fonts>
  <fills count="7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4A4A4A"/>
      </patternFill>
    </fill>
    <fill>
      <patternFill patternType="solid">
        <fgColor rgb="00666666"/>
      </patternFill>
    </fill>
    <fill>
      <patternFill patternType="solid">
        <fgColor rgb="00FFE699"/>
      </patternFill>
    </fill>
    <fill>
      <patternFill patternType="solid">
        <fgColor rgb="00E7E6E6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2" borderId="1" pivotButton="0" quotePrefix="0" xfId="0"/>
    <xf numFmtId="0" fontId="6" fillId="0" borderId="0" pivotButton="0" quotePrefix="0" xfId="0"/>
    <xf numFmtId="165" fontId="5" fillId="2" borderId="1" pivotButton="0" quotePrefix="0" xfId="0"/>
    <xf numFmtId="166" fontId="5" fillId="2" borderId="1" pivotButton="0" quotePrefix="0" xfId="0"/>
    <xf numFmtId="9" fontId="5" fillId="2" borderId="1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9" fillId="3" borderId="0" pivotButton="0" quotePrefix="0" xfId="0"/>
    <xf numFmtId="0" fontId="0" fillId="3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8" fillId="4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vertical="top" wrapText="1"/>
    </xf>
    <xf numFmtId="164" fontId="5" fillId="0" borderId="1" pivotButton="0" quotePrefix="0" xfId="0"/>
    <xf numFmtId="0" fontId="10" fillId="0" borderId="1" applyAlignment="1" pivotButton="0" quotePrefix="0" xfId="0">
      <alignment vertical="top" wrapText="1"/>
    </xf>
    <xf numFmtId="167" fontId="5" fillId="0" borderId="1" pivotButton="0" quotePrefix="0" xfId="0"/>
    <xf numFmtId="0" fontId="0" fillId="0" borderId="1" pivotButton="0" quotePrefix="0" xfId="0"/>
    <xf numFmtId="168" fontId="4" fillId="0" borderId="1" pivotButton="0" quotePrefix="0" xfId="0"/>
    <xf numFmtId="168" fontId="3" fillId="0" borderId="1" pivotButton="0" quotePrefix="0" xfId="0"/>
    <xf numFmtId="0" fontId="11" fillId="0" borderId="1" applyAlignment="1" pivotButton="0" quotePrefix="0" xfId="0">
      <alignment vertical="top" wrapText="1"/>
    </xf>
    <xf numFmtId="164" fontId="5" fillId="5" borderId="1" pivotButton="0" quotePrefix="0" xfId="0"/>
    <xf numFmtId="0" fontId="3" fillId="6" borderId="0" pivotButton="0" quotePrefix="0" xfId="0"/>
    <xf numFmtId="0" fontId="0" fillId="6" borderId="0" pivotButton="0" quotePrefix="0" xfId="0"/>
    <xf numFmtId="0" fontId="8" fillId="3" borderId="0" pivotButton="0" quotePrefix="0" xfId="0"/>
    <xf numFmtId="0" fontId="4" fillId="5" borderId="0" pivotButton="0" quotePrefix="0" xfId="0"/>
    <xf numFmtId="164" fontId="4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C00000"/>
        <sz val="9"/>
      </font>
      <fill>
        <patternFill patternType="solid">
          <fgColor rgb="00F8CBAD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2"/>
  <sheetViews>
    <sheetView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58" customWidth="1" min="3" max="3"/>
    <col width="9" customWidth="1" min="4" max="4"/>
    <col width="3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12" customWidth="1" min="12" max="12"/>
    <col width="12" customWidth="1" min="13" max="13"/>
    <col width="12" customWidth="1" min="14" max="14"/>
    <col width="48" customWidth="1" min="15" max="15"/>
  </cols>
  <sheetData>
    <row r="1">
      <c r="A1" s="1" t="inlineStr">
        <is>
          <t>NOZZLEWORKS PRICELIST - AKBO / ARBO WASHDOWN GUNS &amp; FITTINGS</t>
        </is>
      </c>
    </row>
    <row r="2">
      <c r="A2" s="2" t="inlineStr">
        <is>
          <t>Built from AKBO price list "PRICE LIST, VALID FROM 15-08-2026". Item order and quantity breaks follow AKBO's list. Prices NZD, GST exclusive.</t>
        </is>
      </c>
    </row>
    <row r="4">
      <c r="A4" s="3" t="inlineStr">
        <is>
          <t>INPUTS (edit yellow cells)</t>
        </is>
      </c>
    </row>
    <row r="5">
      <c r="A5" s="4" t="inlineStr">
        <is>
          <t>Exchange rate (EUR per 1 NZD)</t>
        </is>
      </c>
      <c r="C5" s="5" t="n">
        <v>0.46</v>
      </c>
      <c r="D5" s="6" t="inlineStr">
        <is>
          <t>Per Andrew 28-Sep-2026 - to be reviewed. NZD cost = EUR / rate.</t>
        </is>
      </c>
      <c r="L5" s="3" t="inlineStr">
        <is>
          <t>Items listed</t>
        </is>
      </c>
      <c r="M5" s="4">
        <f>COUNT(F14:F242)</f>
        <v/>
      </c>
    </row>
    <row r="6">
      <c r="A6" s="4" t="inlineStr">
        <is>
          <t>Freight rate (NZD per kg)</t>
        </is>
      </c>
      <c r="C6" s="7" t="n">
        <v>30</v>
      </c>
      <c r="D6" s="6" t="inlineStr">
        <is>
          <t>Per Andrew 28-Sep-2026 - placeholder, to be updated.</t>
        </is>
      </c>
      <c r="L6" s="3" t="inlineStr">
        <is>
          <t>No NW part no.</t>
        </is>
      </c>
      <c r="M6" s="4">
        <f>COUNTIF(B14:B242,"NOT ASSIGNED")</f>
        <v/>
      </c>
    </row>
    <row r="7">
      <c r="A7" s="4" t="inlineStr">
        <is>
          <t>Volumetric weight factor (% on net weight)</t>
        </is>
      </c>
      <c r="C7" s="8" t="n">
        <v>0.25</v>
      </c>
      <c r="D7" s="6" t="inlineStr">
        <is>
          <t>Per Andrew 30-Sep-2026 - freight kg = net weight x (1 + factor).</t>
        </is>
      </c>
      <c r="L7" s="3" t="inlineStr">
        <is>
          <t>Estimated weights</t>
        </is>
      </c>
      <c r="M7" s="4">
        <f>COUNTIF(E14:E242,"ESTIMATE*")</f>
        <v/>
      </c>
    </row>
    <row r="8">
      <c r="A8" s="4" t="inlineStr">
        <is>
          <t>Tax / duty allowance (% of product cost)</t>
        </is>
      </c>
      <c r="C8" s="8" t="n">
        <v>0.01</v>
      </c>
      <c r="D8" s="6" t="inlineStr">
        <is>
          <t>Per Andrew 28-Sep-2026 - 1% on NZD product cost.</t>
        </is>
      </c>
    </row>
    <row r="9">
      <c r="A9" s="4" t="inlineStr">
        <is>
          <t>List price markup (% on landed cost)</t>
        </is>
      </c>
      <c r="C9" s="9" t="n">
        <v>3.5</v>
      </c>
      <c r="D9" s="6" t="inlineStr">
        <is>
          <t>Per Andrew 30-Sep-2026 - 350% default, to be reviewed. List = landed x (1 + markup).</t>
        </is>
      </c>
    </row>
    <row r="10">
      <c r="A10" s="10" t="inlineStr">
        <is>
          <t>Landed cost / pc = EUR price / FX x (1 + duty) + net weight kg x (1 + volumetric factor) x freight rate.   List price / pc = landed cost x (1 + markup %).</t>
        </is>
      </c>
    </row>
    <row r="11">
      <c r="A11" s="10" t="inlineStr">
        <is>
          <t>Legend:  red Nozzleworks Part No = no NW part number assigned yet   |   amber weight = ESTIMATE, not printed in AKBO 2026 catalogue   |   blank price = AKBO gives no price at that break</t>
        </is>
      </c>
    </row>
    <row r="13" ht="30" customHeight="1">
      <c r="A13" s="11" t="inlineStr">
        <is>
          <t>AKBO Product code</t>
        </is>
      </c>
      <c r="B13" s="11" t="inlineStr">
        <is>
          <t>Nozzleworks Part No</t>
        </is>
      </c>
      <c r="C13" s="11" t="inlineStr">
        <is>
          <t>Description</t>
        </is>
      </c>
      <c r="D13" s="11" t="inlineStr">
        <is>
          <t>Net weight (kg)</t>
        </is>
      </c>
      <c r="E13" s="11" t="inlineStr">
        <is>
          <t>Weight source</t>
        </is>
      </c>
      <c r="F13" s="11" t="inlineStr">
        <is>
          <t>Supplier price EUR / pc</t>
        </is>
      </c>
      <c r="G13" s="12" t="n"/>
      <c r="H13" s="13" t="n"/>
      <c r="I13" s="11" t="inlineStr">
        <is>
          <t>Landed cost NZD / pc</t>
        </is>
      </c>
      <c r="J13" s="12" t="n"/>
      <c r="K13" s="13" t="n"/>
      <c r="L13" s="11" t="inlineStr">
        <is>
          <t>List price NZD / pc (ex GST)</t>
        </is>
      </c>
      <c r="M13" s="12" t="n"/>
      <c r="N13" s="13" t="n"/>
      <c r="O13" s="11" t="inlineStr">
        <is>
          <t>Flags / notes</t>
        </is>
      </c>
    </row>
    <row r="14"/>
    <row r="15">
      <c r="A15" s="14" t="inlineStr">
        <is>
          <t>Heavy duty spray guns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</row>
    <row r="17">
      <c r="A17" s="16" t="inlineStr">
        <is>
          <t>Qty break</t>
        </is>
      </c>
      <c r="B17" s="17" t="n"/>
      <c r="C17" s="17" t="n"/>
      <c r="D17" s="17" t="n"/>
      <c r="E17" s="17" t="n"/>
      <c r="F17" s="18" t="inlineStr">
        <is>
          <t>&lt; 20 pcs</t>
        </is>
      </c>
      <c r="G17" s="18" t="inlineStr">
        <is>
          <t>≥ 20 pcs</t>
        </is>
      </c>
      <c r="H17" s="18" t="inlineStr">
        <is>
          <t>≥ 50 pcs</t>
        </is>
      </c>
      <c r="I17" s="18" t="inlineStr">
        <is>
          <t>&lt; 20 pcs</t>
        </is>
      </c>
      <c r="J17" s="18" t="inlineStr">
        <is>
          <t>≥ 20 pcs</t>
        </is>
      </c>
      <c r="K17" s="18" t="inlineStr">
        <is>
          <t>≥ 50 pcs</t>
        </is>
      </c>
      <c r="L17" s="18" t="inlineStr">
        <is>
          <t>&lt; 20 pcs</t>
        </is>
      </c>
      <c r="M17" s="18" t="inlineStr">
        <is>
          <t>≥ 20 pcs</t>
        </is>
      </c>
      <c r="N17" s="18" t="inlineStr">
        <is>
          <t>≥ 50 pcs</t>
        </is>
      </c>
      <c r="O17" s="17" t="n"/>
    </row>
    <row r="18">
      <c r="A18" s="19" t="inlineStr">
        <is>
          <t>AKNN001-B</t>
        </is>
      </c>
      <c r="B18" s="20">
        <f>IFERROR(INDEX(Conversion!$C$2:$C$500,MATCH($A18,Conversion!$B$2:$B$500,0)),"NOT ASSIGNED")</f>
        <v/>
      </c>
      <c r="C18" s="21" t="inlineStr">
        <is>
          <t>Water gun with glass reinforced PA66 blue body. Stainless shaft with EPDM and VITON O-ring</t>
        </is>
      </c>
      <c r="D18" s="22" t="n">
        <v>0.48</v>
      </c>
      <c r="E18" s="23" t="inlineStr">
        <is>
          <t>Cat p.16/17</t>
        </is>
      </c>
      <c r="F18" s="24" t="n">
        <v>29.74</v>
      </c>
      <c r="G18" s="24" t="n">
        <v>26.43</v>
      </c>
      <c r="H18" s="25" t="n"/>
      <c r="I18" s="26">
        <f>IF(F18="","",F18/$C$5*(1+$C$8)+$D18*(1+$C$7)*$C$6)</f>
        <v/>
      </c>
      <c r="J18" s="26">
        <f>IF(G18="","",G18/$C$5*(1+$C$8)+$D18*(1+$C$7)*$C$6)</f>
        <v/>
      </c>
      <c r="K18" s="26">
        <f>IF(H18="","",H18/$C$5*(1+$C$8)+$D18*(1+$C$7)*$C$6)</f>
        <v/>
      </c>
      <c r="L18" s="27">
        <f>IF(I18="","",ROUND(I18*(1+$C$9),2))</f>
        <v/>
      </c>
      <c r="M18" s="27">
        <f>IF(J18="","",ROUND(J18*(1+$C$9),2))</f>
        <v/>
      </c>
      <c r="N18" s="27">
        <f>IF(K18="","",ROUND(K18*(1+$C$9),2))</f>
        <v/>
      </c>
      <c r="O18" s="28">
        <f>TRIM(IF($B18="NOT ASSIGNED","No NW part no. ","")&amp;IFERROR(IF(INDEX(Conversion!$J$2:$J$500,MATCH($A18,Conversion!$B$2:$B$500,0))="Needs review","Conversion table: needs review. ",""),"")&amp;IF(LEFT($E18,8)="ESTIMATE","Weight estimated. ","")&amp;"")</f>
        <v/>
      </c>
    </row>
    <row r="19">
      <c r="A19" s="19" t="inlineStr">
        <is>
          <t>BMFT001-B</t>
        </is>
      </c>
      <c r="B19" s="20">
        <f>IFERROR(INDEX(Conversion!$C$2:$C$500,MATCH($A19,Conversion!$B$2:$B$500,0)),"NOT ASSIGNED")</f>
        <v/>
      </c>
      <c r="C19" s="21" t="inlineStr">
        <is>
          <t>Blue Princess economic brass water gun, blue</t>
        </is>
      </c>
      <c r="D19" s="22" t="n">
        <v>0.463</v>
      </c>
      <c r="E19" s="23" t="inlineStr">
        <is>
          <t>Cat p.C (Blue Princess)</t>
        </is>
      </c>
      <c r="F19" s="24" t="n">
        <v>22.47399</v>
      </c>
      <c r="G19" s="24" t="n">
        <v>19.97688</v>
      </c>
      <c r="H19" s="25" t="n"/>
      <c r="I19" s="26">
        <f>IF(F19="","",F19/$C$5*(1+$C$8)+$D19*(1+$C$7)*$C$6)</f>
        <v/>
      </c>
      <c r="J19" s="26">
        <f>IF(G19="","",G19/$C$5*(1+$C$8)+$D19*(1+$C$7)*$C$6)</f>
        <v/>
      </c>
      <c r="K19" s="26">
        <f>IF(H19="","",H19/$C$5*(1+$C$8)+$D19*(1+$C$7)*$C$6)</f>
        <v/>
      </c>
      <c r="L19" s="27">
        <f>IF(I19="","",ROUND(I19*(1+$C$9),2))</f>
        <v/>
      </c>
      <c r="M19" s="27">
        <f>IF(J19="","",ROUND(J19*(1+$C$9),2))</f>
        <v/>
      </c>
      <c r="N19" s="27">
        <f>IF(K19="","",ROUND(K19*(1+$C$9),2))</f>
        <v/>
      </c>
      <c r="O19" s="28">
        <f>TRIM(IF($B19="NOT ASSIGNED","No NW part no. ","")&amp;IFERROR(IF(INDEX(Conversion!$J$2:$J$500,MATCH($A19,Conversion!$B$2:$B$500,0))="Needs review","Conversion table: needs review. ",""),"")&amp;IF(LEFT($E19,8)="ESTIMATE","Weight estimated. ","")&amp;"")</f>
        <v/>
      </c>
    </row>
    <row r="20">
      <c r="A20" s="19" t="inlineStr">
        <is>
          <t>BMFT001-B-PRIN</t>
        </is>
      </c>
      <c r="B20" s="20">
        <f>IFERROR(INDEX(Conversion!$C$2:$C$500,MATCH($A20,Conversion!$B$2:$B$500,0)),"NOT ASSIGNED")</f>
        <v/>
      </c>
      <c r="C20" s="21" t="inlineStr">
        <is>
          <t>Blue Princess economic brass water gun, blue with PRINCESS logo</t>
        </is>
      </c>
      <c r="D20" s="22" t="n">
        <v>0.463</v>
      </c>
      <c r="E20" s="23" t="inlineStr">
        <is>
          <t>Cat p.C - same gun as BMFT001-B, logo only</t>
        </is>
      </c>
      <c r="F20" s="24" t="n">
        <v>22.52052</v>
      </c>
      <c r="G20" s="24" t="n">
        <v>20.01824</v>
      </c>
      <c r="H20" s="25" t="n"/>
      <c r="I20" s="26">
        <f>IF(F20="","",F20/$C$5*(1+$C$8)+$D20*(1+$C$7)*$C$6)</f>
        <v/>
      </c>
      <c r="J20" s="26">
        <f>IF(G20="","",G20/$C$5*(1+$C$8)+$D20*(1+$C$7)*$C$6)</f>
        <v/>
      </c>
      <c r="K20" s="26">
        <f>IF(H20="","",H20/$C$5*(1+$C$8)+$D20*(1+$C$7)*$C$6)</f>
        <v/>
      </c>
      <c r="L20" s="27">
        <f>IF(I20="","",ROUND(I20*(1+$C$9),2))</f>
        <v/>
      </c>
      <c r="M20" s="27">
        <f>IF(J20="","",ROUND(J20*(1+$C$9),2))</f>
        <v/>
      </c>
      <c r="N20" s="27">
        <f>IF(K20="","",ROUND(K20*(1+$C$9),2))</f>
        <v/>
      </c>
      <c r="O20" s="28">
        <f>TRIM(IF($B20="NOT ASSIGNED","No NW part no. ","")&amp;IFERROR(IF(INDEX(Conversion!$J$2:$J$500,MATCH($A20,Conversion!$B$2:$B$500,0))="Needs review","Conversion table: needs review. ",""),"")&amp;IF(LEFT($E20,8)="ESTIMATE","Weight estimated. ","")&amp;"")</f>
        <v/>
      </c>
    </row>
    <row r="21">
      <c r="A21" s="19" t="inlineStr">
        <is>
          <t>BMFTP11-B-PRIN</t>
        </is>
      </c>
      <c r="B21" s="20">
        <f>IFERROR(INDEX(Conversion!$C$2:$C$500,MATCH($A21,Conversion!$B$2:$B$500,0)),"NOT ASSIGNED")</f>
        <v/>
      </c>
      <c r="C21" s="21" t="inlineStr">
        <is>
          <t>Princess economic brass water gun with trigger guard and trigger insulation, blue with PRINCESS logo</t>
        </is>
      </c>
      <c r="D21" s="22" t="n">
        <v>0.59</v>
      </c>
      <c r="E21" s="23" t="inlineStr">
        <is>
          <t>Cat p.C</t>
        </is>
      </c>
      <c r="F21" s="24" t="n">
        <v>30.38409</v>
      </c>
      <c r="G21" s="24" t="n">
        <v>27.00808</v>
      </c>
      <c r="H21" s="25" t="n"/>
      <c r="I21" s="26">
        <f>IF(F21="","",F21/$C$5*(1+$C$8)+$D21*(1+$C$7)*$C$6)</f>
        <v/>
      </c>
      <c r="J21" s="26">
        <f>IF(G21="","",G21/$C$5*(1+$C$8)+$D21*(1+$C$7)*$C$6)</f>
        <v/>
      </c>
      <c r="K21" s="26">
        <f>IF(H21="","",H21/$C$5*(1+$C$8)+$D21*(1+$C$7)*$C$6)</f>
        <v/>
      </c>
      <c r="L21" s="27">
        <f>IF(I21="","",ROUND(I21*(1+$C$9),2))</f>
        <v/>
      </c>
      <c r="M21" s="27">
        <f>IF(J21="","",ROUND(J21*(1+$C$9),2))</f>
        <v/>
      </c>
      <c r="N21" s="27">
        <f>IF(K21="","",ROUND(K21*(1+$C$9),2))</f>
        <v/>
      </c>
      <c r="O21" s="28">
        <f>TRIM(IF($B21="NOT ASSIGNED","No NW part no. ","")&amp;IFERROR(IF(INDEX(Conversion!$J$2:$J$500,MATCH($A21,Conversion!$B$2:$B$500,0))="Needs review","Conversion table: needs review. ",""),"")&amp;IF(LEFT($E21,8)="ESTIMATE","Weight estimated. ","")&amp;"")</f>
        <v/>
      </c>
    </row>
    <row r="22">
      <c r="A22" s="19" t="inlineStr">
        <is>
          <t>KLMN001-B</t>
        </is>
      </c>
      <c r="B22" s="20">
        <f>IFERROR(INDEX(Conversion!$C$2:$C$500,MATCH($A22,Conversion!$B$2:$B$500,0)),"NOT ASSIGNED")</f>
        <v/>
      </c>
      <c r="C22" s="21" t="inlineStr">
        <is>
          <t>Brass water gun, without trigger insulation, blue</t>
        </is>
      </c>
      <c r="D22" s="22" t="n">
        <v>0.84</v>
      </c>
      <c r="E22" s="23" t="inlineStr">
        <is>
          <t>Cat p.9</t>
        </is>
      </c>
      <c r="F22" s="24" t="n">
        <v>28.14</v>
      </c>
      <c r="G22" s="24" t="n">
        <v>25.02</v>
      </c>
      <c r="H22" s="25" t="n"/>
      <c r="I22" s="26">
        <f>IF(F22="","",F22/$C$5*(1+$C$8)+$D22*(1+$C$7)*$C$6)</f>
        <v/>
      </c>
      <c r="J22" s="26">
        <f>IF(G22="","",G22/$C$5*(1+$C$8)+$D22*(1+$C$7)*$C$6)</f>
        <v/>
      </c>
      <c r="K22" s="26">
        <f>IF(H22="","",H22/$C$5*(1+$C$8)+$D22*(1+$C$7)*$C$6)</f>
        <v/>
      </c>
      <c r="L22" s="27">
        <f>IF(I22="","",ROUND(I22*(1+$C$9),2))</f>
        <v/>
      </c>
      <c r="M22" s="27">
        <f>IF(J22="","",ROUND(J22*(1+$C$9),2))</f>
        <v/>
      </c>
      <c r="N22" s="27">
        <f>IF(K22="","",ROUND(K22*(1+$C$9),2))</f>
        <v/>
      </c>
      <c r="O22" s="28">
        <f>TRIM(IF($B22="NOT ASSIGNED","No NW part no. ","")&amp;IFERROR(IF(INDEX(Conversion!$J$2:$J$500,MATCH($A22,Conversion!$B$2:$B$500,0))="Needs review","Conversion table: needs review. ",""),"")&amp;IF(LEFT($E22,8)="ESTIMATE","Weight estimated. ","")&amp;"")</f>
        <v/>
      </c>
    </row>
    <row r="23">
      <c r="A23" s="19" t="inlineStr">
        <is>
          <t>KLMN001-R</t>
        </is>
      </c>
      <c r="B23" s="20">
        <f>IFERROR(INDEX(Conversion!$C$2:$C$500,MATCH($A23,Conversion!$B$2:$B$500,0)),"NOT ASSIGNED")</f>
        <v/>
      </c>
      <c r="C23" s="21" t="inlineStr">
        <is>
          <t>Brass water gun without trigger insulation, red</t>
        </is>
      </c>
      <c r="D23" s="22" t="n">
        <v>0.84</v>
      </c>
      <c r="E23" s="23" t="inlineStr">
        <is>
          <t>Cat p.9</t>
        </is>
      </c>
      <c r="F23" s="24" t="n">
        <v>29.08</v>
      </c>
      <c r="G23" s="24" t="n">
        <v>25.85</v>
      </c>
      <c r="H23" s="25" t="n"/>
      <c r="I23" s="26">
        <f>IF(F23="","",F23/$C$5*(1+$C$8)+$D23*(1+$C$7)*$C$6)</f>
        <v/>
      </c>
      <c r="J23" s="26">
        <f>IF(G23="","",G23/$C$5*(1+$C$8)+$D23*(1+$C$7)*$C$6)</f>
        <v/>
      </c>
      <c r="K23" s="26">
        <f>IF(H23="","",H23/$C$5*(1+$C$8)+$D23*(1+$C$7)*$C$6)</f>
        <v/>
      </c>
      <c r="L23" s="27">
        <f>IF(I23="","",ROUND(I23*(1+$C$9),2))</f>
        <v/>
      </c>
      <c r="M23" s="27">
        <f>IF(J23="","",ROUND(J23*(1+$C$9),2))</f>
        <v/>
      </c>
      <c r="N23" s="27">
        <f>IF(K23="","",ROUND(K23*(1+$C$9),2))</f>
        <v/>
      </c>
      <c r="O23" s="28">
        <f>TRIM(IF($B23="NOT ASSIGNED","No NW part no. ","")&amp;IFERROR(IF(INDEX(Conversion!$J$2:$J$500,MATCH($A23,Conversion!$B$2:$B$500,0))="Needs review","Conversion table: needs review. ",""),"")&amp;IF(LEFT($E23,8)="ESTIMATE","Weight estimated. ","")&amp;"")</f>
        <v/>
      </c>
    </row>
    <row r="24">
      <c r="A24" s="19" t="inlineStr">
        <is>
          <t>KLMN001-G</t>
        </is>
      </c>
      <c r="B24" s="20">
        <f>IFERROR(INDEX(Conversion!$C$2:$C$500,MATCH($A24,Conversion!$B$2:$B$500,0)),"NOT ASSIGNED")</f>
        <v/>
      </c>
      <c r="C24" s="21" t="inlineStr">
        <is>
          <t>Brass water gun, without trigger insulation, green</t>
        </is>
      </c>
      <c r="D24" s="22" t="n">
        <v>0.84</v>
      </c>
      <c r="E24" s="23" t="inlineStr">
        <is>
          <t>Cat p.9</t>
        </is>
      </c>
      <c r="F24" s="24" t="n">
        <v>29.08</v>
      </c>
      <c r="G24" s="24" t="n">
        <v>25.85</v>
      </c>
      <c r="H24" s="25" t="n"/>
      <c r="I24" s="26">
        <f>IF(F24="","",F24/$C$5*(1+$C$8)+$D24*(1+$C$7)*$C$6)</f>
        <v/>
      </c>
      <c r="J24" s="26">
        <f>IF(G24="","",G24/$C$5*(1+$C$8)+$D24*(1+$C$7)*$C$6)</f>
        <v/>
      </c>
      <c r="K24" s="26">
        <f>IF(H24="","",H24/$C$5*(1+$C$8)+$D24*(1+$C$7)*$C$6)</f>
        <v/>
      </c>
      <c r="L24" s="27">
        <f>IF(I24="","",ROUND(I24*(1+$C$9),2))</f>
        <v/>
      </c>
      <c r="M24" s="27">
        <f>IF(J24="","",ROUND(J24*(1+$C$9),2))</f>
        <v/>
      </c>
      <c r="N24" s="27">
        <f>IF(K24="","",ROUND(K24*(1+$C$9),2))</f>
        <v/>
      </c>
      <c r="O24" s="28">
        <f>TRIM(IF($B24="NOT ASSIGNED","No NW part no. ","")&amp;IFERROR(IF(INDEX(Conversion!$J$2:$J$500,MATCH($A24,Conversion!$B$2:$B$500,0))="Needs review","Conversion table: needs review. ",""),"")&amp;IF(LEFT($E24,8)="ESTIMATE","Weight estimated. ","")&amp;"")</f>
        <v/>
      </c>
    </row>
    <row r="25">
      <c r="A25" s="19" t="inlineStr">
        <is>
          <t>KLMN001-BL</t>
        </is>
      </c>
      <c r="B25" s="20">
        <f>IFERROR(INDEX(Conversion!$C$2:$C$500,MATCH($A25,Conversion!$B$2:$B$500,0)),"NOT ASSIGNED")</f>
        <v/>
      </c>
      <c r="C25" s="21" t="inlineStr">
        <is>
          <t>Brass water gun, without trigger insulation, black</t>
        </is>
      </c>
      <c r="D25" s="22" t="n">
        <v>0.84</v>
      </c>
      <c r="E25" s="23" t="inlineStr">
        <is>
          <t>Cat p.9</t>
        </is>
      </c>
      <c r="F25" s="24" t="n">
        <v>29.08</v>
      </c>
      <c r="G25" s="24" t="n">
        <v>25.85</v>
      </c>
      <c r="H25" s="25" t="n"/>
      <c r="I25" s="26">
        <f>IF(F25="","",F25/$C$5*(1+$C$8)+$D25*(1+$C$7)*$C$6)</f>
        <v/>
      </c>
      <c r="J25" s="26">
        <f>IF(G25="","",G25/$C$5*(1+$C$8)+$D25*(1+$C$7)*$C$6)</f>
        <v/>
      </c>
      <c r="K25" s="26">
        <f>IF(H25="","",H25/$C$5*(1+$C$8)+$D25*(1+$C$7)*$C$6)</f>
        <v/>
      </c>
      <c r="L25" s="27">
        <f>IF(I25="","",ROUND(I25*(1+$C$9),2))</f>
        <v/>
      </c>
      <c r="M25" s="27">
        <f>IF(J25="","",ROUND(J25*(1+$C$9),2))</f>
        <v/>
      </c>
      <c r="N25" s="27">
        <f>IF(K25="","",ROUND(K25*(1+$C$9),2))</f>
        <v/>
      </c>
      <c r="O25" s="28">
        <f>TRIM(IF($B25="NOT ASSIGNED","No NW part no. ","")&amp;IFERROR(IF(INDEX(Conversion!$J$2:$J$500,MATCH($A25,Conversion!$B$2:$B$500,0))="Needs review","Conversion table: needs review. ",""),"")&amp;IF(LEFT($E25,8)="ESTIMATE","Weight estimated. ","")&amp;"")</f>
        <v/>
      </c>
    </row>
    <row r="26">
      <c r="A26" s="19" t="inlineStr">
        <is>
          <t>KLMN001-Y</t>
        </is>
      </c>
      <c r="B26" s="20">
        <f>IFERROR(INDEX(Conversion!$C$2:$C$500,MATCH($A26,Conversion!$B$2:$B$500,0)),"NOT ASSIGNED")</f>
        <v/>
      </c>
      <c r="C26" s="21" t="inlineStr">
        <is>
          <t>Brass water gun, without trigger insulation, yellow</t>
        </is>
      </c>
      <c r="D26" s="22" t="n">
        <v>0.84</v>
      </c>
      <c r="E26" s="23" t="inlineStr">
        <is>
          <t>Cat p.9</t>
        </is>
      </c>
      <c r="F26" s="24" t="n">
        <v>29.08</v>
      </c>
      <c r="G26" s="24" t="n">
        <v>25.85</v>
      </c>
      <c r="H26" s="25" t="n"/>
      <c r="I26" s="26">
        <f>IF(F26="","",F26/$C$5*(1+$C$8)+$D26*(1+$C$7)*$C$6)</f>
        <v/>
      </c>
      <c r="J26" s="26">
        <f>IF(G26="","",G26/$C$5*(1+$C$8)+$D26*(1+$C$7)*$C$6)</f>
        <v/>
      </c>
      <c r="K26" s="26">
        <f>IF(H26="","",H26/$C$5*(1+$C$8)+$D26*(1+$C$7)*$C$6)</f>
        <v/>
      </c>
      <c r="L26" s="27">
        <f>IF(I26="","",ROUND(I26*(1+$C$9),2))</f>
        <v/>
      </c>
      <c r="M26" s="27">
        <f>IF(J26="","",ROUND(J26*(1+$C$9),2))</f>
        <v/>
      </c>
      <c r="N26" s="27">
        <f>IF(K26="","",ROUND(K26*(1+$C$9),2))</f>
        <v/>
      </c>
      <c r="O26" s="28">
        <f>TRIM(IF($B26="NOT ASSIGNED","No NW part no. ","")&amp;IFERROR(IF(INDEX(Conversion!$J$2:$J$500,MATCH($A26,Conversion!$B$2:$B$500,0))="Needs review","Conversion table: needs review. ",""),"")&amp;IF(LEFT($E26,8)="ESTIMATE","Weight estimated. ","")&amp;"")</f>
        <v/>
      </c>
    </row>
    <row r="27">
      <c r="A27" s="19" t="inlineStr">
        <is>
          <t>KLMN001-W</t>
        </is>
      </c>
      <c r="B27" s="20">
        <f>IFERROR(INDEX(Conversion!$C$2:$C$500,MATCH($A27,Conversion!$B$2:$B$500,0)),"NOT ASSIGNED")</f>
        <v/>
      </c>
      <c r="C27" s="21" t="inlineStr">
        <is>
          <t>Brass water gun, without trigger insulation, white</t>
        </is>
      </c>
      <c r="D27" s="22" t="n">
        <v>0.84</v>
      </c>
      <c r="E27" s="23" t="inlineStr">
        <is>
          <t>Cat p.9</t>
        </is>
      </c>
      <c r="F27" s="24" t="n">
        <v>29.08</v>
      </c>
      <c r="G27" s="24" t="n">
        <v>25.85</v>
      </c>
      <c r="H27" s="25" t="n"/>
      <c r="I27" s="26">
        <f>IF(F27="","",F27/$C$5*(1+$C$8)+$D27*(1+$C$7)*$C$6)</f>
        <v/>
      </c>
      <c r="J27" s="26">
        <f>IF(G27="","",G27/$C$5*(1+$C$8)+$D27*(1+$C$7)*$C$6)</f>
        <v/>
      </c>
      <c r="K27" s="26">
        <f>IF(H27="","",H27/$C$5*(1+$C$8)+$D27*(1+$C$7)*$C$6)</f>
        <v/>
      </c>
      <c r="L27" s="27">
        <f>IF(I27="","",ROUND(I27*(1+$C$9),2))</f>
        <v/>
      </c>
      <c r="M27" s="27">
        <f>IF(J27="","",ROUND(J27*(1+$C$9),2))</f>
        <v/>
      </c>
      <c r="N27" s="27">
        <f>IF(K27="","",ROUND(K27*(1+$C$9),2))</f>
        <v/>
      </c>
      <c r="O27" s="28">
        <f>TRIM(IF($B27="NOT ASSIGNED","No NW part no. ","")&amp;IFERROR(IF(INDEX(Conversion!$J$2:$J$500,MATCH($A27,Conversion!$B$2:$B$500,0))="Needs review","Conversion table: needs review. ",""),"")&amp;IF(LEFT($E27,8)="ESTIMATE","Weight estimated. ","")&amp;"")</f>
        <v/>
      </c>
    </row>
    <row r="29">
      <c r="A29" s="19" t="inlineStr">
        <is>
          <t>AKMN001-B</t>
        </is>
      </c>
      <c r="B29" s="20">
        <f>IFERROR(INDEX(Conversion!$C$2:$C$500,MATCH($A29,Conversion!$B$2:$B$500,0)),"NOT ASSIGNED")</f>
        <v/>
      </c>
      <c r="C29" s="21" t="inlineStr">
        <is>
          <t>Brass water gun, blue</t>
        </is>
      </c>
      <c r="D29" s="22" t="n">
        <v>0.835</v>
      </c>
      <c r="E29" s="23" t="inlineStr">
        <is>
          <t>Cat p.11</t>
        </is>
      </c>
      <c r="F29" s="24" t="n">
        <v>29.24</v>
      </c>
      <c r="G29" s="24" t="n">
        <v>25.99</v>
      </c>
      <c r="H29" s="25" t="n"/>
      <c r="I29" s="26">
        <f>IF(F29="","",F29/$C$5*(1+$C$8)+$D29*(1+$C$7)*$C$6)</f>
        <v/>
      </c>
      <c r="J29" s="26">
        <f>IF(G29="","",G29/$C$5*(1+$C$8)+$D29*(1+$C$7)*$C$6)</f>
        <v/>
      </c>
      <c r="K29" s="26">
        <f>IF(H29="","",H29/$C$5*(1+$C$8)+$D29*(1+$C$7)*$C$6)</f>
        <v/>
      </c>
      <c r="L29" s="27">
        <f>IF(I29="","",ROUND(I29*(1+$C$9),2))</f>
        <v/>
      </c>
      <c r="M29" s="27">
        <f>IF(J29="","",ROUND(J29*(1+$C$9),2))</f>
        <v/>
      </c>
      <c r="N29" s="27">
        <f>IF(K29="","",ROUND(K29*(1+$C$9),2))</f>
        <v/>
      </c>
      <c r="O29" s="28">
        <f>TRIM(IF($B29="NOT ASSIGNED","No NW part no. ","")&amp;IFERROR(IF(INDEX(Conversion!$J$2:$J$500,MATCH($A29,Conversion!$B$2:$B$500,0))="Needs review","Conversion table: needs review. ",""),"")&amp;IF(LEFT($E29,8)="ESTIMATE","Weight estimated. ","")&amp;"")</f>
        <v/>
      </c>
    </row>
    <row r="30">
      <c r="A30" s="19" t="inlineStr">
        <is>
          <t>AKMN001-R</t>
        </is>
      </c>
      <c r="B30" s="20">
        <f>IFERROR(INDEX(Conversion!$C$2:$C$500,MATCH($A30,Conversion!$B$2:$B$500,0)),"NOT ASSIGNED")</f>
        <v/>
      </c>
      <c r="C30" s="21" t="inlineStr">
        <is>
          <t>Brass water gun, red</t>
        </is>
      </c>
      <c r="D30" s="22" t="n">
        <v>0.835</v>
      </c>
      <c r="E30" s="23" t="inlineStr">
        <is>
          <t>Cat p.11</t>
        </is>
      </c>
      <c r="F30" s="24" t="n">
        <v>30.17</v>
      </c>
      <c r="G30" s="24" t="n">
        <v>26.82</v>
      </c>
      <c r="H30" s="25" t="n"/>
      <c r="I30" s="26">
        <f>IF(F30="","",F30/$C$5*(1+$C$8)+$D30*(1+$C$7)*$C$6)</f>
        <v/>
      </c>
      <c r="J30" s="26">
        <f>IF(G30="","",G30/$C$5*(1+$C$8)+$D30*(1+$C$7)*$C$6)</f>
        <v/>
      </c>
      <c r="K30" s="26">
        <f>IF(H30="","",H30/$C$5*(1+$C$8)+$D30*(1+$C$7)*$C$6)</f>
        <v/>
      </c>
      <c r="L30" s="27">
        <f>IF(I30="","",ROUND(I30*(1+$C$9),2))</f>
        <v/>
      </c>
      <c r="M30" s="27">
        <f>IF(J30="","",ROUND(J30*(1+$C$9),2))</f>
        <v/>
      </c>
      <c r="N30" s="27">
        <f>IF(K30="","",ROUND(K30*(1+$C$9),2))</f>
        <v/>
      </c>
      <c r="O30" s="28">
        <f>TRIM(IF($B30="NOT ASSIGNED","No NW part no. ","")&amp;IFERROR(IF(INDEX(Conversion!$J$2:$J$500,MATCH($A30,Conversion!$B$2:$B$500,0))="Needs review","Conversion table: needs review. ",""),"")&amp;IF(LEFT($E30,8)="ESTIMATE","Weight estimated. ","")&amp;"")</f>
        <v/>
      </c>
    </row>
    <row r="31">
      <c r="A31" s="19" t="inlineStr">
        <is>
          <t>AKMN001-G</t>
        </is>
      </c>
      <c r="B31" s="20">
        <f>IFERROR(INDEX(Conversion!$C$2:$C$500,MATCH($A31,Conversion!$B$2:$B$500,0)),"NOT ASSIGNED")</f>
        <v/>
      </c>
      <c r="C31" s="21" t="inlineStr">
        <is>
          <t>Brass water gun, green</t>
        </is>
      </c>
      <c r="D31" s="22" t="n">
        <v>0.835</v>
      </c>
      <c r="E31" s="23" t="inlineStr">
        <is>
          <t>Cat p.11</t>
        </is>
      </c>
      <c r="F31" s="24" t="n">
        <v>30.17</v>
      </c>
      <c r="G31" s="24" t="n">
        <v>26.82</v>
      </c>
      <c r="H31" s="25" t="n"/>
      <c r="I31" s="26">
        <f>IF(F31="","",F31/$C$5*(1+$C$8)+$D31*(1+$C$7)*$C$6)</f>
        <v/>
      </c>
      <c r="J31" s="26">
        <f>IF(G31="","",G31/$C$5*(1+$C$8)+$D31*(1+$C$7)*$C$6)</f>
        <v/>
      </c>
      <c r="K31" s="26">
        <f>IF(H31="","",H31/$C$5*(1+$C$8)+$D31*(1+$C$7)*$C$6)</f>
        <v/>
      </c>
      <c r="L31" s="27">
        <f>IF(I31="","",ROUND(I31*(1+$C$9),2))</f>
        <v/>
      </c>
      <c r="M31" s="27">
        <f>IF(J31="","",ROUND(J31*(1+$C$9),2))</f>
        <v/>
      </c>
      <c r="N31" s="27">
        <f>IF(K31="","",ROUND(K31*(1+$C$9),2))</f>
        <v/>
      </c>
      <c r="O31" s="28">
        <f>TRIM(IF($B31="NOT ASSIGNED","No NW part no. ","")&amp;IFERROR(IF(INDEX(Conversion!$J$2:$J$500,MATCH($A31,Conversion!$B$2:$B$500,0))="Needs review","Conversion table: needs review. ",""),"")&amp;IF(LEFT($E31,8)="ESTIMATE","Weight estimated. ","")&amp;"")</f>
        <v/>
      </c>
    </row>
    <row r="32">
      <c r="A32" s="19" t="inlineStr">
        <is>
          <t>AKMN001-BL</t>
        </is>
      </c>
      <c r="B32" s="20">
        <f>IFERROR(INDEX(Conversion!$C$2:$C$500,MATCH($A32,Conversion!$B$2:$B$500,0)),"NOT ASSIGNED")</f>
        <v/>
      </c>
      <c r="C32" s="21" t="inlineStr">
        <is>
          <t>Brass water gun, black</t>
        </is>
      </c>
      <c r="D32" s="22" t="n">
        <v>0.835</v>
      </c>
      <c r="E32" s="23" t="inlineStr">
        <is>
          <t>Cat p.11</t>
        </is>
      </c>
      <c r="F32" s="24" t="n">
        <v>30.17</v>
      </c>
      <c r="G32" s="24" t="n">
        <v>26.82</v>
      </c>
      <c r="H32" s="25" t="n"/>
      <c r="I32" s="26">
        <f>IF(F32="","",F32/$C$5*(1+$C$8)+$D32*(1+$C$7)*$C$6)</f>
        <v/>
      </c>
      <c r="J32" s="26">
        <f>IF(G32="","",G32/$C$5*(1+$C$8)+$D32*(1+$C$7)*$C$6)</f>
        <v/>
      </c>
      <c r="K32" s="26">
        <f>IF(H32="","",H32/$C$5*(1+$C$8)+$D32*(1+$C$7)*$C$6)</f>
        <v/>
      </c>
      <c r="L32" s="27">
        <f>IF(I32="","",ROUND(I32*(1+$C$9),2))</f>
        <v/>
      </c>
      <c r="M32" s="27">
        <f>IF(J32="","",ROUND(J32*(1+$C$9),2))</f>
        <v/>
      </c>
      <c r="N32" s="27">
        <f>IF(K32="","",ROUND(K32*(1+$C$9),2))</f>
        <v/>
      </c>
      <c r="O32" s="28">
        <f>TRIM(IF($B32="NOT ASSIGNED","No NW part no. ","")&amp;IFERROR(IF(INDEX(Conversion!$J$2:$J$500,MATCH($A32,Conversion!$B$2:$B$500,0))="Needs review","Conversion table: needs review. ",""),"")&amp;IF(LEFT($E32,8)="ESTIMATE","Weight estimated. ","")&amp;"")</f>
        <v/>
      </c>
    </row>
    <row r="33">
      <c r="A33" s="19" t="inlineStr">
        <is>
          <t>AKMN001-Y</t>
        </is>
      </c>
      <c r="B33" s="20">
        <f>IFERROR(INDEX(Conversion!$C$2:$C$500,MATCH($A33,Conversion!$B$2:$B$500,0)),"NOT ASSIGNED")</f>
        <v/>
      </c>
      <c r="C33" s="21" t="inlineStr">
        <is>
          <t>Brass water gun, yellow</t>
        </is>
      </c>
      <c r="D33" s="22" t="n">
        <v>0.835</v>
      </c>
      <c r="E33" s="23" t="inlineStr">
        <is>
          <t>Cat p.11</t>
        </is>
      </c>
      <c r="F33" s="24" t="n">
        <v>30.17</v>
      </c>
      <c r="G33" s="24" t="n">
        <v>26.82</v>
      </c>
      <c r="H33" s="25" t="n"/>
      <c r="I33" s="26">
        <f>IF(F33="","",F33/$C$5*(1+$C$8)+$D33*(1+$C$7)*$C$6)</f>
        <v/>
      </c>
      <c r="J33" s="26">
        <f>IF(G33="","",G33/$C$5*(1+$C$8)+$D33*(1+$C$7)*$C$6)</f>
        <v/>
      </c>
      <c r="K33" s="26">
        <f>IF(H33="","",H33/$C$5*(1+$C$8)+$D33*(1+$C$7)*$C$6)</f>
        <v/>
      </c>
      <c r="L33" s="27">
        <f>IF(I33="","",ROUND(I33*(1+$C$9),2))</f>
        <v/>
      </c>
      <c r="M33" s="27">
        <f>IF(J33="","",ROUND(J33*(1+$C$9),2))</f>
        <v/>
      </c>
      <c r="N33" s="27">
        <f>IF(K33="","",ROUND(K33*(1+$C$9),2))</f>
        <v/>
      </c>
      <c r="O33" s="28">
        <f>TRIM(IF($B33="NOT ASSIGNED","No NW part no. ","")&amp;IFERROR(IF(INDEX(Conversion!$J$2:$J$500,MATCH($A33,Conversion!$B$2:$B$500,0))="Needs review","Conversion table: needs review. ",""),"")&amp;IF(LEFT($E33,8)="ESTIMATE","Weight estimated. ","")&amp;"")</f>
        <v/>
      </c>
    </row>
    <row r="34">
      <c r="A34" s="19" t="inlineStr">
        <is>
          <t>AKMN001-W</t>
        </is>
      </c>
      <c r="B34" s="20">
        <f>IFERROR(INDEX(Conversion!$C$2:$C$500,MATCH($A34,Conversion!$B$2:$B$500,0)),"NOT ASSIGNED")</f>
        <v/>
      </c>
      <c r="C34" s="21" t="inlineStr">
        <is>
          <t>Brass water gun, white</t>
        </is>
      </c>
      <c r="D34" s="22" t="n">
        <v>0.835</v>
      </c>
      <c r="E34" s="23" t="inlineStr">
        <is>
          <t>Cat p.11</t>
        </is>
      </c>
      <c r="F34" s="24" t="n">
        <v>30.17</v>
      </c>
      <c r="G34" s="24" t="n">
        <v>26.82</v>
      </c>
      <c r="H34" s="25" t="n"/>
      <c r="I34" s="26">
        <f>IF(F34="","",F34/$C$5*(1+$C$8)+$D34*(1+$C$7)*$C$6)</f>
        <v/>
      </c>
      <c r="J34" s="26">
        <f>IF(G34="","",G34/$C$5*(1+$C$8)+$D34*(1+$C$7)*$C$6)</f>
        <v/>
      </c>
      <c r="K34" s="26">
        <f>IF(H34="","",H34/$C$5*(1+$C$8)+$D34*(1+$C$7)*$C$6)</f>
        <v/>
      </c>
      <c r="L34" s="27">
        <f>IF(I34="","",ROUND(I34*(1+$C$9),2))</f>
        <v/>
      </c>
      <c r="M34" s="27">
        <f>IF(J34="","",ROUND(J34*(1+$C$9),2))</f>
        <v/>
      </c>
      <c r="N34" s="27">
        <f>IF(K34="","",ROUND(K34*(1+$C$9),2))</f>
        <v/>
      </c>
      <c r="O34" s="28">
        <f>TRIM(IF($B34="NOT ASSIGNED","No NW part no. ","")&amp;IFERROR(IF(INDEX(Conversion!$J$2:$J$500,MATCH($A34,Conversion!$B$2:$B$500,0))="Needs review","Conversion table: needs review. ",""),"")&amp;IF(LEFT($E34,8)="ESTIMATE","Weight estimated. ","")&amp;"")</f>
        <v/>
      </c>
    </row>
    <row r="35">
      <c r="A35" s="19" t="inlineStr">
        <is>
          <t>AKMNP01-B</t>
        </is>
      </c>
      <c r="B35" s="20">
        <f>IFERROR(INDEX(Conversion!$C$2:$C$500,MATCH($A35,Conversion!$B$2:$B$500,0)),"NOT ASSIGNED")</f>
        <v/>
      </c>
      <c r="C35" s="21" t="inlineStr">
        <is>
          <t>Brass water gun with trigger protection, blue</t>
        </is>
      </c>
      <c r="D35" s="22" t="n">
        <v>1.031</v>
      </c>
      <c r="E35" s="23" t="inlineStr">
        <is>
          <t>Cat p.11</t>
        </is>
      </c>
      <c r="F35" s="24" t="n">
        <v>35</v>
      </c>
      <c r="G35" s="24" t="n">
        <v>31.11</v>
      </c>
      <c r="H35" s="25" t="n"/>
      <c r="I35" s="26">
        <f>IF(F35="","",F35/$C$5*(1+$C$8)+$D35*(1+$C$7)*$C$6)</f>
        <v/>
      </c>
      <c r="J35" s="26">
        <f>IF(G35="","",G35/$C$5*(1+$C$8)+$D35*(1+$C$7)*$C$6)</f>
        <v/>
      </c>
      <c r="K35" s="26">
        <f>IF(H35="","",H35/$C$5*(1+$C$8)+$D35*(1+$C$7)*$C$6)</f>
        <v/>
      </c>
      <c r="L35" s="27">
        <f>IF(I35="","",ROUND(I35*(1+$C$9),2))</f>
        <v/>
      </c>
      <c r="M35" s="27">
        <f>IF(J35="","",ROUND(J35*(1+$C$9),2))</f>
        <v/>
      </c>
      <c r="N35" s="27">
        <f>IF(K35="","",ROUND(K35*(1+$C$9),2))</f>
        <v/>
      </c>
      <c r="O35" s="28">
        <f>TRIM(IF($B35="NOT ASSIGNED","No NW part no. ","")&amp;IFERROR(IF(INDEX(Conversion!$J$2:$J$500,MATCH($A35,Conversion!$B$2:$B$500,0))="Needs review","Conversion table: needs review. ",""),"")&amp;IF(LEFT($E35,8)="ESTIMATE","Weight estimated. ","")&amp;"")</f>
        <v/>
      </c>
    </row>
    <row r="36">
      <c r="A36" s="19" t="inlineStr">
        <is>
          <t>AKMNP01-B-SW12</t>
        </is>
      </c>
      <c r="B36" s="20">
        <f>IFERROR(INDEX(Conversion!$C$2:$C$500,MATCH($A36,Conversion!$B$2:$B$500,0)),"NOT ASSIGNED")</f>
        <v/>
      </c>
      <c r="C36" s="21" t="inlineStr">
        <is>
          <t>Brass water gun, with trigger protection, ball bearing swivel input 1/2"F, blue</t>
        </is>
      </c>
      <c r="D36" s="22" t="n">
        <v>1.084</v>
      </c>
      <c r="E36" s="23" t="inlineStr">
        <is>
          <t>Cat p.11</t>
        </is>
      </c>
      <c r="F36" s="24" t="n">
        <v>41.94</v>
      </c>
      <c r="G36" s="24" t="n">
        <v>37.28</v>
      </c>
      <c r="H36" s="25" t="n"/>
      <c r="I36" s="26">
        <f>IF(F36="","",F36/$C$5*(1+$C$8)+$D36*(1+$C$7)*$C$6)</f>
        <v/>
      </c>
      <c r="J36" s="26">
        <f>IF(G36="","",G36/$C$5*(1+$C$8)+$D36*(1+$C$7)*$C$6)</f>
        <v/>
      </c>
      <c r="K36" s="26">
        <f>IF(H36="","",H36/$C$5*(1+$C$8)+$D36*(1+$C$7)*$C$6)</f>
        <v/>
      </c>
      <c r="L36" s="27">
        <f>IF(I36="","",ROUND(I36*(1+$C$9),2))</f>
        <v/>
      </c>
      <c r="M36" s="27">
        <f>IF(J36="","",ROUND(J36*(1+$C$9),2))</f>
        <v/>
      </c>
      <c r="N36" s="27">
        <f>IF(K36="","",ROUND(K36*(1+$C$9),2))</f>
        <v/>
      </c>
      <c r="O36" s="28">
        <f>TRIM(IF($B36="NOT ASSIGNED","No NW part no. ","")&amp;IFERROR(IF(INDEX(Conversion!$J$2:$J$500,MATCH($A36,Conversion!$B$2:$B$500,0))="Needs review","Conversion table: needs review. ",""),"")&amp;IF(LEFT($E36,8)="ESTIMATE","Weight estimated. ","")&amp;"")</f>
        <v/>
      </c>
    </row>
    <row r="37">
      <c r="A37" s="19" t="inlineStr">
        <is>
          <t>AKMNP01-B-SW34</t>
        </is>
      </c>
      <c r="B37" s="20">
        <f>IFERROR(INDEX(Conversion!$C$2:$C$500,MATCH($A37,Conversion!$B$2:$B$500,0)),"NOT ASSIGNED")</f>
        <v/>
      </c>
      <c r="C37" s="21" t="inlineStr">
        <is>
          <t>Brass water gun, with trigger protection, ball bearing swivel input 3/4"F, blue</t>
        </is>
      </c>
      <c r="D37" s="22" t="n">
        <v>1.114</v>
      </c>
      <c r="E37" s="23" t="inlineStr">
        <is>
          <t>Cat p.11</t>
        </is>
      </c>
      <c r="F37" s="24" t="n">
        <v>41.94</v>
      </c>
      <c r="G37" s="24" t="n">
        <v>37.28</v>
      </c>
      <c r="H37" s="25" t="n"/>
      <c r="I37" s="26">
        <f>IF(F37="","",F37/$C$5*(1+$C$8)+$D37*(1+$C$7)*$C$6)</f>
        <v/>
      </c>
      <c r="J37" s="26">
        <f>IF(G37="","",G37/$C$5*(1+$C$8)+$D37*(1+$C$7)*$C$6)</f>
        <v/>
      </c>
      <c r="K37" s="26">
        <f>IF(H37="","",H37/$C$5*(1+$C$8)+$D37*(1+$C$7)*$C$6)</f>
        <v/>
      </c>
      <c r="L37" s="27">
        <f>IF(I37="","",ROUND(I37*(1+$C$9),2))</f>
        <v/>
      </c>
      <c r="M37" s="27">
        <f>IF(J37="","",ROUND(J37*(1+$C$9),2))</f>
        <v/>
      </c>
      <c r="N37" s="27">
        <f>IF(K37="","",ROUND(K37*(1+$C$9),2))</f>
        <v/>
      </c>
      <c r="O37" s="28">
        <f>TRIM(IF($B37="NOT ASSIGNED","No NW part no. ","")&amp;IFERROR(IF(INDEX(Conversion!$J$2:$J$500,MATCH($A37,Conversion!$B$2:$B$500,0))="Needs review","Conversion table: needs review. ",""),"")&amp;IF(LEFT($E37,8)="ESTIMATE","Weight estimated. ","")&amp;"")</f>
        <v/>
      </c>
    </row>
    <row r="39">
      <c r="A39" s="19" t="inlineStr">
        <is>
          <t>AKMN011-B</t>
        </is>
      </c>
      <c r="B39" s="20">
        <f>IFERROR(INDEX(Conversion!$C$2:$C$500,MATCH($A39,Conversion!$B$2:$B$500,0)),"NOT ASSIGNED")</f>
        <v/>
      </c>
      <c r="C39" s="21" t="inlineStr">
        <is>
          <t>Blue King superior brass water gun without trigger protection, blue</t>
        </is>
      </c>
      <c r="D39" s="22" t="n">
        <v>0.706</v>
      </c>
      <c r="E39" s="23" t="inlineStr">
        <is>
          <t>Cat p.6</t>
        </is>
      </c>
      <c r="F39" s="24" t="n">
        <v>27.006012</v>
      </c>
      <c r="G39" s="24" t="n">
        <v>24.005344</v>
      </c>
      <c r="H39" s="25" t="n"/>
      <c r="I39" s="26">
        <f>IF(F39="","",F39/$C$5*(1+$C$8)+$D39*(1+$C$7)*$C$6)</f>
        <v/>
      </c>
      <c r="J39" s="26">
        <f>IF(G39="","",G39/$C$5*(1+$C$8)+$D39*(1+$C$7)*$C$6)</f>
        <v/>
      </c>
      <c r="K39" s="26">
        <f>IF(H39="","",H39/$C$5*(1+$C$8)+$D39*(1+$C$7)*$C$6)</f>
        <v/>
      </c>
      <c r="L39" s="27">
        <f>IF(I39="","",ROUND(I39*(1+$C$9),2))</f>
        <v/>
      </c>
      <c r="M39" s="27">
        <f>IF(J39="","",ROUND(J39*(1+$C$9),2))</f>
        <v/>
      </c>
      <c r="N39" s="27">
        <f>IF(K39="","",ROUND(K39*(1+$C$9),2))</f>
        <v/>
      </c>
      <c r="O39" s="28">
        <f>TRIM(IF($B39="NOT ASSIGNED","No NW part no. ","")&amp;IFERROR(IF(INDEX(Conversion!$J$2:$J$500,MATCH($A39,Conversion!$B$2:$B$500,0))="Needs review","Conversion table: needs review. ",""),"")&amp;IF(LEFT($E39,8)="ESTIMATE","Weight estimated. ","")&amp;"")</f>
        <v/>
      </c>
    </row>
    <row r="40">
      <c r="A40" s="19" t="inlineStr">
        <is>
          <t>AKMN011-B-KING</t>
        </is>
      </c>
      <c r="B40" s="20">
        <f>IFERROR(INDEX(Conversion!$C$2:$C$500,MATCH($A40,Conversion!$B$2:$B$500,0)),"NOT ASSIGNED")</f>
        <v/>
      </c>
      <c r="C40" s="21" t="inlineStr">
        <is>
          <t>Blue King superior brass water gun without trigger protection, blue with KING logo</t>
        </is>
      </c>
      <c r="D40" s="22" t="n">
        <v>0.706</v>
      </c>
      <c r="E40" s="23" t="inlineStr">
        <is>
          <t>Cat p.6 - same gun as AKMN011-B, logo only</t>
        </is>
      </c>
      <c r="F40" s="24" t="n">
        <v>27.108378</v>
      </c>
      <c r="G40" s="24" t="n">
        <v>24.096336</v>
      </c>
      <c r="H40" s="25" t="n"/>
      <c r="I40" s="26">
        <f>IF(F40="","",F40/$C$5*(1+$C$8)+$D40*(1+$C$7)*$C$6)</f>
        <v/>
      </c>
      <c r="J40" s="26">
        <f>IF(G40="","",G40/$C$5*(1+$C$8)+$D40*(1+$C$7)*$C$6)</f>
        <v/>
      </c>
      <c r="K40" s="26">
        <f>IF(H40="","",H40/$C$5*(1+$C$8)+$D40*(1+$C$7)*$C$6)</f>
        <v/>
      </c>
      <c r="L40" s="27">
        <f>IF(I40="","",ROUND(I40*(1+$C$9),2))</f>
        <v/>
      </c>
      <c r="M40" s="27">
        <f>IF(J40="","",ROUND(J40*(1+$C$9),2))</f>
        <v/>
      </c>
      <c r="N40" s="27">
        <f>IF(K40="","",ROUND(K40*(1+$C$9),2))</f>
        <v/>
      </c>
      <c r="O40" s="28">
        <f>TRIM(IF($B40="NOT ASSIGNED","No NW part no. ","")&amp;IFERROR(IF(INDEX(Conversion!$J$2:$J$500,MATCH($A40,Conversion!$B$2:$B$500,0))="Needs review","Conversion table: needs review. ",""),"")&amp;IF(LEFT($E40,8)="ESTIMATE","Weight estimated. ","")&amp;"")</f>
        <v/>
      </c>
    </row>
    <row r="41">
      <c r="A41" s="19" t="inlineStr">
        <is>
          <t>AKMNP11-B</t>
        </is>
      </c>
      <c r="B41" s="20">
        <f>IFERROR(INDEX(Conversion!$C$2:$C$500,MATCH($A41,Conversion!$B$2:$B$500,0)),"NOT ASSIGNED")</f>
        <v/>
      </c>
      <c r="C41" s="21" t="inlineStr">
        <is>
          <t>Blue King superior brass water gun with trigger protection, blue</t>
        </is>
      </c>
      <c r="D41" s="22" t="n">
        <v>0.88</v>
      </c>
      <c r="E41" s="23" t="inlineStr">
        <is>
          <t>Cat p.6</t>
        </is>
      </c>
      <c r="F41" s="24" t="n">
        <v>35.288352</v>
      </c>
      <c r="G41" s="24" t="n">
        <v>31.367424</v>
      </c>
      <c r="H41" s="25" t="n"/>
      <c r="I41" s="26">
        <f>IF(F41="","",F41/$C$5*(1+$C$8)+$D41*(1+$C$7)*$C$6)</f>
        <v/>
      </c>
      <c r="J41" s="26">
        <f>IF(G41="","",G41/$C$5*(1+$C$8)+$D41*(1+$C$7)*$C$6)</f>
        <v/>
      </c>
      <c r="K41" s="26">
        <f>IF(H41="","",H41/$C$5*(1+$C$8)+$D41*(1+$C$7)*$C$6)</f>
        <v/>
      </c>
      <c r="L41" s="27">
        <f>IF(I41="","",ROUND(I41*(1+$C$9),2))</f>
        <v/>
      </c>
      <c r="M41" s="27">
        <f>IF(J41="","",ROUND(J41*(1+$C$9),2))</f>
        <v/>
      </c>
      <c r="N41" s="27">
        <f>IF(K41="","",ROUND(K41*(1+$C$9),2))</f>
        <v/>
      </c>
      <c r="O41" s="28">
        <f>TRIM(IF($B41="NOT ASSIGNED","No NW part no. ","")&amp;IFERROR(IF(INDEX(Conversion!$J$2:$J$500,MATCH($A41,Conversion!$B$2:$B$500,0))="Needs review","Conversion table: needs review. ",""),"")&amp;IF(LEFT($E41,8)="ESTIMATE","Weight estimated. ","")&amp;"")</f>
        <v/>
      </c>
    </row>
    <row r="42">
      <c r="A42" s="19" t="inlineStr">
        <is>
          <t>AKMNP11-B-KING</t>
        </is>
      </c>
      <c r="B42" s="20">
        <f>IFERROR(INDEX(Conversion!$C$2:$C$500,MATCH($A42,Conversion!$B$2:$B$500,0)),"NOT ASSIGNED")</f>
        <v/>
      </c>
      <c r="C42" s="21" t="inlineStr">
        <is>
          <t>Blue King superior brass water gun with trigger protection, blue with KING logo</t>
        </is>
      </c>
      <c r="D42" s="22" t="n">
        <v>0.88</v>
      </c>
      <c r="E42" s="23" t="inlineStr">
        <is>
          <t>Cat p.6 - same gun as AKMNP11-B, logo only</t>
        </is>
      </c>
      <c r="F42" s="24" t="n">
        <v>35.390718</v>
      </c>
      <c r="G42" s="24" t="n">
        <v>31.458416</v>
      </c>
      <c r="H42" s="25" t="n"/>
      <c r="I42" s="26">
        <f>IF(F42="","",F42/$C$5*(1+$C$8)+$D42*(1+$C$7)*$C$6)</f>
        <v/>
      </c>
      <c r="J42" s="26">
        <f>IF(G42="","",G42/$C$5*(1+$C$8)+$D42*(1+$C$7)*$C$6)</f>
        <v/>
      </c>
      <c r="K42" s="26">
        <f>IF(H42="","",H42/$C$5*(1+$C$8)+$D42*(1+$C$7)*$C$6)</f>
        <v/>
      </c>
      <c r="L42" s="27">
        <f>IF(I42="","",ROUND(I42*(1+$C$9),2))</f>
        <v/>
      </c>
      <c r="M42" s="27">
        <f>IF(J42="","",ROUND(J42*(1+$C$9),2))</f>
        <v/>
      </c>
      <c r="N42" s="27">
        <f>IF(K42="","",ROUND(K42*(1+$C$9),2))</f>
        <v/>
      </c>
      <c r="O42" s="28">
        <f>TRIM(IF($B42="NOT ASSIGNED","No NW part no. ","")&amp;IFERROR(IF(INDEX(Conversion!$J$2:$J$500,MATCH($A42,Conversion!$B$2:$B$500,0))="Needs review","Conversion table: needs review. ",""),"")&amp;IF(LEFT($E42,8)="ESTIMATE","Weight estimated. ","")&amp;"")</f>
        <v/>
      </c>
    </row>
    <row r="44">
      <c r="A44" s="19" t="inlineStr">
        <is>
          <t>AKMB001-BL</t>
        </is>
      </c>
      <c r="B44" s="20">
        <f>IFERROR(INDEX(Conversion!$C$2:$C$500,MATCH($A44,Conversion!$B$2:$B$500,0)),"NOT ASSIGNED")</f>
        <v/>
      </c>
      <c r="C44" s="21" t="inlineStr">
        <is>
          <t>Brass water gun, big flow, black</t>
        </is>
      </c>
      <c r="D44" s="22" t="n">
        <v>0.84</v>
      </c>
      <c r="E44" s="23" t="inlineStr">
        <is>
          <t>Cat p.20</t>
        </is>
      </c>
      <c r="F44" s="24" t="n">
        <v>36.4485</v>
      </c>
      <c r="G44" s="24" t="n">
        <v>32.81</v>
      </c>
      <c r="H44" s="25" t="n"/>
      <c r="I44" s="26">
        <f>IF(F44="","",F44/$C$5*(1+$C$8)+$D44*(1+$C$7)*$C$6)</f>
        <v/>
      </c>
      <c r="J44" s="26">
        <f>IF(G44="","",G44/$C$5*(1+$C$8)+$D44*(1+$C$7)*$C$6)</f>
        <v/>
      </c>
      <c r="K44" s="26">
        <f>IF(H44="","",H44/$C$5*(1+$C$8)+$D44*(1+$C$7)*$C$6)</f>
        <v/>
      </c>
      <c r="L44" s="27">
        <f>IF(I44="","",ROUND(I44*(1+$C$9),2))</f>
        <v/>
      </c>
      <c r="M44" s="27">
        <f>IF(J44="","",ROUND(J44*(1+$C$9),2))</f>
        <v/>
      </c>
      <c r="N44" s="27">
        <f>IF(K44="","",ROUND(K44*(1+$C$9),2))</f>
        <v/>
      </c>
      <c r="O44" s="28">
        <f>TRIM(IF($B44="NOT ASSIGNED","No NW part no. ","")&amp;IFERROR(IF(INDEX(Conversion!$J$2:$J$500,MATCH($A44,Conversion!$B$2:$B$500,0))="Needs review","Conversion table: needs review. ",""),"")&amp;IF(LEFT($E44,8)="ESTIMATE","Weight estimated. ","")&amp;"")</f>
        <v/>
      </c>
    </row>
    <row r="45">
      <c r="A45" s="19" t="inlineStr">
        <is>
          <t>AKMBP01-BL</t>
        </is>
      </c>
      <c r="B45" s="20">
        <f>IFERROR(INDEX(Conversion!$C$2:$C$500,MATCH($A45,Conversion!$B$2:$B$500,0)),"NOT ASSIGNED")</f>
        <v/>
      </c>
      <c r="C45" s="21" t="inlineStr">
        <is>
          <t>Brass water gun, big flow, with trigger protection, black</t>
        </is>
      </c>
      <c r="D45" s="29" t="n">
        <v>1.036</v>
      </c>
      <c r="E45" s="23" t="inlineStr">
        <is>
          <t>ESTIMATE - not tabulated; AKMB001-BL + trigger guard (AKMN delta)</t>
        </is>
      </c>
      <c r="F45" s="24" t="n">
        <v>38.88874</v>
      </c>
      <c r="G45" s="24" t="n">
        <v>35</v>
      </c>
      <c r="H45" s="25" t="n"/>
      <c r="I45" s="26">
        <f>IF(F45="","",F45/$C$5*(1+$C$8)+$D45*(1+$C$7)*$C$6)</f>
        <v/>
      </c>
      <c r="J45" s="26">
        <f>IF(G45="","",G45/$C$5*(1+$C$8)+$D45*(1+$C$7)*$C$6)</f>
        <v/>
      </c>
      <c r="K45" s="26">
        <f>IF(H45="","",H45/$C$5*(1+$C$8)+$D45*(1+$C$7)*$C$6)</f>
        <v/>
      </c>
      <c r="L45" s="27">
        <f>IF(I45="","",ROUND(I45*(1+$C$9),2))</f>
        <v/>
      </c>
      <c r="M45" s="27">
        <f>IF(J45="","",ROUND(J45*(1+$C$9),2))</f>
        <v/>
      </c>
      <c r="N45" s="27">
        <f>IF(K45="","",ROUND(K45*(1+$C$9),2))</f>
        <v/>
      </c>
      <c r="O45" s="28">
        <f>TRIM(IF($B45="NOT ASSIGNED","No NW part no. ","")&amp;IFERROR(IF(INDEX(Conversion!$J$2:$J$500,MATCH($A45,Conversion!$B$2:$B$500,0))="Needs review","Conversion table: needs review. ",""),"")&amp;IF(LEFT($E45,8)="ESTIMATE","Weight estimated. ","")&amp;"Catalogue only lists AKMBP01-B-SWM14-3/4 (with swivel) - confirm model.")</f>
        <v/>
      </c>
    </row>
    <row r="46">
      <c r="A46" s="19" t="inlineStr">
        <is>
          <t>AKRB001-BL</t>
        </is>
      </c>
      <c r="B46" s="20">
        <f>IFERROR(INDEX(Conversion!$C$2:$C$500,MATCH($A46,Conversion!$B$2:$B$500,0)),"NOT ASSIGNED")</f>
        <v/>
      </c>
      <c r="C46" s="21" t="inlineStr">
        <is>
          <t>Stainless steel water gun, high flow, black</t>
        </is>
      </c>
      <c r="D46" s="29" t="n">
        <v>0.84</v>
      </c>
      <c r="E46" s="23" t="inlineStr">
        <is>
          <t>ESTIMATE - not tabulated; taken as AKMB001-BL</t>
        </is>
      </c>
      <c r="F46" s="24" t="n">
        <v>84.8</v>
      </c>
      <c r="G46" s="24" t="n">
        <v>75.38</v>
      </c>
      <c r="H46" s="25" t="n"/>
      <c r="I46" s="26">
        <f>IF(F46="","",F46/$C$5*(1+$C$8)+$D46*(1+$C$7)*$C$6)</f>
        <v/>
      </c>
      <c r="J46" s="26">
        <f>IF(G46="","",G46/$C$5*(1+$C$8)+$D46*(1+$C$7)*$C$6)</f>
        <v/>
      </c>
      <c r="K46" s="26">
        <f>IF(H46="","",H46/$C$5*(1+$C$8)+$D46*(1+$C$7)*$C$6)</f>
        <v/>
      </c>
      <c r="L46" s="27">
        <f>IF(I46="","",ROUND(I46*(1+$C$9),2))</f>
        <v/>
      </c>
      <c r="M46" s="27">
        <f>IF(J46="","",ROUND(J46*(1+$C$9),2))</f>
        <v/>
      </c>
      <c r="N46" s="27">
        <f>IF(K46="","",ROUND(K46*(1+$C$9),2))</f>
        <v/>
      </c>
      <c r="O46" s="28">
        <f>TRIM(IF($B46="NOT ASSIGNED","No NW part no. ","")&amp;IFERROR(IF(INDEX(Conversion!$J$2:$J$500,MATCH($A46,Conversion!$B$2:$B$500,0))="Needs review","Conversion table: needs review. ",""),"")&amp;IF(LEFT($E46,8)="ESTIMATE","Weight estimated. ","")&amp;"")</f>
        <v/>
      </c>
    </row>
    <row r="48">
      <c r="A48" s="19" t="inlineStr">
        <is>
          <t>AKCN001-B</t>
        </is>
      </c>
      <c r="B48" s="20">
        <f>IFERROR(INDEX(Conversion!$C$2:$C$500,MATCH($A48,Conversion!$B$2:$B$500,0)),"NOT ASSIGNED")</f>
        <v/>
      </c>
      <c r="C48" s="21" t="inlineStr">
        <is>
          <t>Chrome plated brass water gun, blue</t>
        </is>
      </c>
      <c r="D48" s="22" t="n">
        <v>0.867</v>
      </c>
      <c r="E48" s="23" t="inlineStr">
        <is>
          <t>Cat p.13</t>
        </is>
      </c>
      <c r="F48" s="24" t="n">
        <v>36.69</v>
      </c>
      <c r="G48" s="24" t="n">
        <v>32.62</v>
      </c>
      <c r="H48" s="25" t="n"/>
      <c r="I48" s="26">
        <f>IF(F48="","",F48/$C$5*(1+$C$8)+$D48*(1+$C$7)*$C$6)</f>
        <v/>
      </c>
      <c r="J48" s="26">
        <f>IF(G48="","",G48/$C$5*(1+$C$8)+$D48*(1+$C$7)*$C$6)</f>
        <v/>
      </c>
      <c r="K48" s="26">
        <f>IF(H48="","",H48/$C$5*(1+$C$8)+$D48*(1+$C$7)*$C$6)</f>
        <v/>
      </c>
      <c r="L48" s="27">
        <f>IF(I48="","",ROUND(I48*(1+$C$9),2))</f>
        <v/>
      </c>
      <c r="M48" s="27">
        <f>IF(J48="","",ROUND(J48*(1+$C$9),2))</f>
        <v/>
      </c>
      <c r="N48" s="27">
        <f>IF(K48="","",ROUND(K48*(1+$C$9),2))</f>
        <v/>
      </c>
      <c r="O48" s="28">
        <f>TRIM(IF($B48="NOT ASSIGNED","No NW part no. ","")&amp;IFERROR(IF(INDEX(Conversion!$J$2:$J$500,MATCH($A48,Conversion!$B$2:$B$500,0))="Needs review","Conversion table: needs review. ",""),"")&amp;IF(LEFT($E48,8)="ESTIMATE","Weight estimated. ","")&amp;"")</f>
        <v/>
      </c>
    </row>
    <row r="49">
      <c r="A49" s="19" t="inlineStr">
        <is>
          <t>AKCNP01-B</t>
        </is>
      </c>
      <c r="B49" s="20">
        <f>IFERROR(INDEX(Conversion!$C$2:$C$500,MATCH($A49,Conversion!$B$2:$B$500,0)),"NOT ASSIGNED")</f>
        <v/>
      </c>
      <c r="C49" s="21" t="inlineStr">
        <is>
          <t>Chrome plated brass water gun, with trigger protection, blue</t>
        </is>
      </c>
      <c r="D49" s="22" t="n">
        <v>1.016</v>
      </c>
      <c r="E49" s="23" t="inlineStr">
        <is>
          <t>Cat p.13</t>
        </is>
      </c>
      <c r="F49" s="24" t="n">
        <v>38.93</v>
      </c>
      <c r="G49" s="24" t="n">
        <v>34.6</v>
      </c>
      <c r="H49" s="25" t="n"/>
      <c r="I49" s="26">
        <f>IF(F49="","",F49/$C$5*(1+$C$8)+$D49*(1+$C$7)*$C$6)</f>
        <v/>
      </c>
      <c r="J49" s="26">
        <f>IF(G49="","",G49/$C$5*(1+$C$8)+$D49*(1+$C$7)*$C$6)</f>
        <v/>
      </c>
      <c r="K49" s="26">
        <f>IF(H49="","",H49/$C$5*(1+$C$8)+$D49*(1+$C$7)*$C$6)</f>
        <v/>
      </c>
      <c r="L49" s="27">
        <f>IF(I49="","",ROUND(I49*(1+$C$9),2))</f>
        <v/>
      </c>
      <c r="M49" s="27">
        <f>IF(J49="","",ROUND(J49*(1+$C$9),2))</f>
        <v/>
      </c>
      <c r="N49" s="27">
        <f>IF(K49="","",ROUND(K49*(1+$C$9),2))</f>
        <v/>
      </c>
      <c r="O49" s="28">
        <f>TRIM(IF($B49="NOT ASSIGNED","No NW part no. ","")&amp;IFERROR(IF(INDEX(Conversion!$J$2:$J$500,MATCH($A49,Conversion!$B$2:$B$500,0))="Needs review","Conversion table: needs review. ",""),"")&amp;IF(LEFT($E49,8)="ESTIMATE","Weight estimated. ","")&amp;"")</f>
        <v/>
      </c>
    </row>
    <row r="50">
      <c r="A50" s="19" t="inlineStr">
        <is>
          <t>AKCNP01-W</t>
        </is>
      </c>
      <c r="B50" s="20">
        <f>IFERROR(INDEX(Conversion!$C$2:$C$500,MATCH($A50,Conversion!$B$2:$B$500,0)),"NOT ASSIGNED")</f>
        <v/>
      </c>
      <c r="C50" s="21" t="inlineStr">
        <is>
          <t>Chrome plated brass water gun, with trigger protection, white</t>
        </is>
      </c>
      <c r="D50" s="22" t="n">
        <v>1.016</v>
      </c>
      <c r="E50" s="23" t="inlineStr">
        <is>
          <t>Cat p.13</t>
        </is>
      </c>
      <c r="F50" s="24" t="n">
        <v>38.93</v>
      </c>
      <c r="G50" s="24" t="n">
        <v>34.6</v>
      </c>
      <c r="H50" s="25" t="n"/>
      <c r="I50" s="26">
        <f>IF(F50="","",F50/$C$5*(1+$C$8)+$D50*(1+$C$7)*$C$6)</f>
        <v/>
      </c>
      <c r="J50" s="26">
        <f>IF(G50="","",G50/$C$5*(1+$C$8)+$D50*(1+$C$7)*$C$6)</f>
        <v/>
      </c>
      <c r="K50" s="26">
        <f>IF(H50="","",H50/$C$5*(1+$C$8)+$D50*(1+$C$7)*$C$6)</f>
        <v/>
      </c>
      <c r="L50" s="27">
        <f>IF(I50="","",ROUND(I50*(1+$C$9),2))</f>
        <v/>
      </c>
      <c r="M50" s="27">
        <f>IF(J50="","",ROUND(J50*(1+$C$9),2))</f>
        <v/>
      </c>
      <c r="N50" s="27">
        <f>IF(K50="","",ROUND(K50*(1+$C$9),2))</f>
        <v/>
      </c>
      <c r="O50" s="28">
        <f>TRIM(IF($B50="NOT ASSIGNED","No NW part no. ","")&amp;IFERROR(IF(INDEX(Conversion!$J$2:$J$500,MATCH($A50,Conversion!$B$2:$B$500,0))="Needs review","Conversion table: needs review. ",""),"")&amp;IF(LEFT($E50,8)="ESTIMATE","Weight estimated. ","")&amp;"")</f>
        <v/>
      </c>
    </row>
    <row r="52">
      <c r="A52" s="19" t="inlineStr">
        <is>
          <t>BRFT003-B</t>
        </is>
      </c>
      <c r="B52" s="20">
        <f>IFERROR(INDEX(Conversion!$C$2:$C$500,MATCH($A52,Conversion!$B$2:$B$500,0)),"NOT ASSIGNED")</f>
        <v/>
      </c>
      <c r="C52" s="21" t="inlineStr">
        <is>
          <t>Blue Princess economic stainless steel water gun, blue</t>
        </is>
      </c>
      <c r="D52" s="22" t="n">
        <v>0.48</v>
      </c>
      <c r="E52" s="23" t="inlineStr">
        <is>
          <t>Cat p.C</t>
        </is>
      </c>
      <c r="F52" s="24" t="n">
        <v>55.165968</v>
      </c>
      <c r="G52" s="24" t="n">
        <v>49.036416</v>
      </c>
      <c r="H52" s="25" t="n"/>
      <c r="I52" s="26">
        <f>IF(F52="","",F52/$C$5*(1+$C$8)+$D52*(1+$C$7)*$C$6)</f>
        <v/>
      </c>
      <c r="J52" s="26">
        <f>IF(G52="","",G52/$C$5*(1+$C$8)+$D52*(1+$C$7)*$C$6)</f>
        <v/>
      </c>
      <c r="K52" s="26">
        <f>IF(H52="","",H52/$C$5*(1+$C$8)+$D52*(1+$C$7)*$C$6)</f>
        <v/>
      </c>
      <c r="L52" s="27">
        <f>IF(I52="","",ROUND(I52*(1+$C$9),2))</f>
        <v/>
      </c>
      <c r="M52" s="27">
        <f>IF(J52="","",ROUND(J52*(1+$C$9),2))</f>
        <v/>
      </c>
      <c r="N52" s="27">
        <f>IF(K52="","",ROUND(K52*(1+$C$9),2))</f>
        <v/>
      </c>
      <c r="O52" s="28">
        <f>TRIM(IF($B52="NOT ASSIGNED","No NW part no. ","")&amp;IFERROR(IF(INDEX(Conversion!$J$2:$J$500,MATCH($A52,Conversion!$B$2:$B$500,0))="Needs review","Conversion table: needs review. ",""),"")&amp;IF(LEFT($E52,8)="ESTIMATE","Weight estimated. ","")&amp;"")</f>
        <v/>
      </c>
    </row>
    <row r="53">
      <c r="A53" s="19" t="inlineStr">
        <is>
          <t>BRFT003-B-PRIN</t>
        </is>
      </c>
      <c r="B53" s="20">
        <f>IFERROR(INDEX(Conversion!$C$2:$C$500,MATCH($A53,Conversion!$B$2:$B$500,0)),"NOT ASSIGNED")</f>
        <v/>
      </c>
      <c r="C53" s="21" t="inlineStr">
        <is>
          <t>Blue Princess economic stainless steel water gun, blue with PRINCESS logo</t>
        </is>
      </c>
      <c r="D53" s="22" t="n">
        <v>0.48</v>
      </c>
      <c r="E53" s="23" t="inlineStr">
        <is>
          <t>Cat p.C - same gun as BRFT003-B, logo only</t>
        </is>
      </c>
      <c r="F53" s="24" t="n">
        <v>55.212498</v>
      </c>
      <c r="G53" s="24" t="n">
        <v>49.077776</v>
      </c>
      <c r="H53" s="25" t="n"/>
      <c r="I53" s="26">
        <f>IF(F53="","",F53/$C$5*(1+$C$8)+$D53*(1+$C$7)*$C$6)</f>
        <v/>
      </c>
      <c r="J53" s="26">
        <f>IF(G53="","",G53/$C$5*(1+$C$8)+$D53*(1+$C$7)*$C$6)</f>
        <v/>
      </c>
      <c r="K53" s="26">
        <f>IF(H53="","",H53/$C$5*(1+$C$8)+$D53*(1+$C$7)*$C$6)</f>
        <v/>
      </c>
      <c r="L53" s="27">
        <f>IF(I53="","",ROUND(I53*(1+$C$9),2))</f>
        <v/>
      </c>
      <c r="M53" s="27">
        <f>IF(J53="","",ROUND(J53*(1+$C$9),2))</f>
        <v/>
      </c>
      <c r="N53" s="27">
        <f>IF(K53="","",ROUND(K53*(1+$C$9),2))</f>
        <v/>
      </c>
      <c r="O53" s="28">
        <f>TRIM(IF($B53="NOT ASSIGNED","No NW part no. ","")&amp;IFERROR(IF(INDEX(Conversion!$J$2:$J$500,MATCH($A53,Conversion!$B$2:$B$500,0))="Needs review","Conversion table: needs review. ",""),"")&amp;IF(LEFT($E53,8)="ESTIMATE","Weight estimated. ","")&amp;"")</f>
        <v/>
      </c>
    </row>
    <row r="54">
      <c r="A54" s="19" t="inlineStr">
        <is>
          <t>BRFTP03-B-PRIN</t>
        </is>
      </c>
      <c r="B54" s="20">
        <f>IFERROR(INDEX(Conversion!$C$2:$C$500,MATCH($A54,Conversion!$B$2:$B$500,0)),"NOT ASSIGNED")</f>
        <v/>
      </c>
      <c r="C54" s="21" t="inlineStr">
        <is>
          <t>Blue Princess economic stainless steel water gun, with trigger guard and insulation trigger, bue with Princess logo</t>
        </is>
      </c>
      <c r="D54" s="22" t="n">
        <v>0.62</v>
      </c>
      <c r="E54" s="23" t="inlineStr">
        <is>
          <t>Cat p.C (catalogue code BRFTP13-B-PRIN)</t>
        </is>
      </c>
      <c r="F54" s="24" t="n">
        <v>71.127</v>
      </c>
      <c r="G54" s="24" t="n">
        <v>63.224</v>
      </c>
      <c r="H54" s="25" t="n"/>
      <c r="I54" s="26">
        <f>IF(F54="","",F54/$C$5*(1+$C$8)+$D54*(1+$C$7)*$C$6)</f>
        <v/>
      </c>
      <c r="J54" s="26">
        <f>IF(G54="","",G54/$C$5*(1+$C$8)+$D54*(1+$C$7)*$C$6)</f>
        <v/>
      </c>
      <c r="K54" s="26">
        <f>IF(H54="","",H54/$C$5*(1+$C$8)+$D54*(1+$C$7)*$C$6)</f>
        <v/>
      </c>
      <c r="L54" s="27">
        <f>IF(I54="","",ROUND(I54*(1+$C$9),2))</f>
        <v/>
      </c>
      <c r="M54" s="27">
        <f>IF(J54="","",ROUND(J54*(1+$C$9),2))</f>
        <v/>
      </c>
      <c r="N54" s="27">
        <f>IF(K54="","",ROUND(K54*(1+$C$9),2))</f>
        <v/>
      </c>
      <c r="O54" s="28">
        <f>TRIM(IF($B54="NOT ASSIGNED","No NW part no. ","")&amp;IFERROR(IF(INDEX(Conversion!$J$2:$J$500,MATCH($A54,Conversion!$B$2:$B$500,0))="Needs review","Conversion table: needs review. ",""),"")&amp;IF(LEFT($E54,8)="ESTIMATE","Weight estimated. ","")&amp;"Pricelist code BRFTP03 vs catalogue/conversion BRFTP13 - confirm with AKBO.")</f>
        <v/>
      </c>
    </row>
    <row r="55">
      <c r="A55" s="19" t="inlineStr">
        <is>
          <t>AKRN001-B</t>
        </is>
      </c>
      <c r="B55" s="20">
        <f>IFERROR(INDEX(Conversion!$C$2:$C$500,MATCH($A55,Conversion!$B$2:$B$500,0)),"NOT ASSIGNED")</f>
        <v/>
      </c>
      <c r="C55" s="21" t="inlineStr">
        <is>
          <t>St.st. water gun, blue</t>
        </is>
      </c>
      <c r="D55" s="22" t="n">
        <v>0.8129999999999999</v>
      </c>
      <c r="E55" s="23" t="inlineStr">
        <is>
          <t>Cat p.15</t>
        </is>
      </c>
      <c r="F55" s="24" t="n">
        <v>80.06882400000001</v>
      </c>
      <c r="G55" s="24" t="n">
        <v>71.18000000000001</v>
      </c>
      <c r="H55" s="25" t="n"/>
      <c r="I55" s="26">
        <f>IF(F55="","",F55/$C$5*(1+$C$8)+$D55*(1+$C$7)*$C$6)</f>
        <v/>
      </c>
      <c r="J55" s="26">
        <f>IF(G55="","",G55/$C$5*(1+$C$8)+$D55*(1+$C$7)*$C$6)</f>
        <v/>
      </c>
      <c r="K55" s="26">
        <f>IF(H55="","",H55/$C$5*(1+$C$8)+$D55*(1+$C$7)*$C$6)</f>
        <v/>
      </c>
      <c r="L55" s="27">
        <f>IF(I55="","",ROUND(I55*(1+$C$9),2))</f>
        <v/>
      </c>
      <c r="M55" s="27">
        <f>IF(J55="","",ROUND(J55*(1+$C$9),2))</f>
        <v/>
      </c>
      <c r="N55" s="27">
        <f>IF(K55="","",ROUND(K55*(1+$C$9),2))</f>
        <v/>
      </c>
      <c r="O55" s="28">
        <f>TRIM(IF($B55="NOT ASSIGNED","No NW part no. ","")&amp;IFERROR(IF(INDEX(Conversion!$J$2:$J$500,MATCH($A55,Conversion!$B$2:$B$500,0))="Needs review","Conversion table: needs review. ",""),"")&amp;IF(LEFT($E55,8)="ESTIMATE","Weight estimated. ","")&amp;"")</f>
        <v/>
      </c>
    </row>
    <row r="56">
      <c r="A56" s="19" t="inlineStr">
        <is>
          <t>AKRN001-W</t>
        </is>
      </c>
      <c r="B56" s="20">
        <f>IFERROR(INDEX(Conversion!$C$2:$C$500,MATCH($A56,Conversion!$B$2:$B$500,0)),"NOT ASSIGNED")</f>
        <v/>
      </c>
      <c r="C56" s="21" t="inlineStr">
        <is>
          <t>St.st. water gun, white</t>
        </is>
      </c>
      <c r="D56" s="22" t="n">
        <v>0.8129999999999999</v>
      </c>
      <c r="E56" s="23" t="inlineStr">
        <is>
          <t>Cat p.15</t>
        </is>
      </c>
      <c r="F56" s="24" t="n">
        <v>80.06882400000001</v>
      </c>
      <c r="G56" s="24" t="n">
        <v>71.18000000000001</v>
      </c>
      <c r="H56" s="25" t="n"/>
      <c r="I56" s="26">
        <f>IF(F56="","",F56/$C$5*(1+$C$8)+$D56*(1+$C$7)*$C$6)</f>
        <v/>
      </c>
      <c r="J56" s="26">
        <f>IF(G56="","",G56/$C$5*(1+$C$8)+$D56*(1+$C$7)*$C$6)</f>
        <v/>
      </c>
      <c r="K56" s="26">
        <f>IF(H56="","",H56/$C$5*(1+$C$8)+$D56*(1+$C$7)*$C$6)</f>
        <v/>
      </c>
      <c r="L56" s="27">
        <f>IF(I56="","",ROUND(I56*(1+$C$9),2))</f>
        <v/>
      </c>
      <c r="M56" s="27">
        <f>IF(J56="","",ROUND(J56*(1+$C$9),2))</f>
        <v/>
      </c>
      <c r="N56" s="27">
        <f>IF(K56="","",ROUND(K56*(1+$C$9),2))</f>
        <v/>
      </c>
      <c r="O56" s="28">
        <f>TRIM(IF($B56="NOT ASSIGNED","No NW part no. ","")&amp;IFERROR(IF(INDEX(Conversion!$J$2:$J$500,MATCH($A56,Conversion!$B$2:$B$500,0))="Needs review","Conversion table: needs review. ",""),"")&amp;IF(LEFT($E56,8)="ESTIMATE","Weight estimated. ","")&amp;"")</f>
        <v/>
      </c>
    </row>
    <row r="57">
      <c r="A57" s="19" t="inlineStr">
        <is>
          <t>AKRNP01-B</t>
        </is>
      </c>
      <c r="B57" s="20">
        <f>IFERROR(INDEX(Conversion!$C$2:$C$500,MATCH($A57,Conversion!$B$2:$B$500,0)),"NOT ASSIGNED")</f>
        <v/>
      </c>
      <c r="C57" s="21" t="inlineStr">
        <is>
          <t>St.st. water gun, with trigger protection, blue</t>
        </is>
      </c>
      <c r="D57" s="22" t="n">
        <v>0.983</v>
      </c>
      <c r="E57" s="23" t="inlineStr">
        <is>
          <t>Cat p.15</t>
        </is>
      </c>
      <c r="F57" s="24" t="n">
        <v>82.562832</v>
      </c>
      <c r="G57" s="24" t="n">
        <v>73.39</v>
      </c>
      <c r="H57" s="25" t="n"/>
      <c r="I57" s="26">
        <f>IF(F57="","",F57/$C$5*(1+$C$8)+$D57*(1+$C$7)*$C$6)</f>
        <v/>
      </c>
      <c r="J57" s="26">
        <f>IF(G57="","",G57/$C$5*(1+$C$8)+$D57*(1+$C$7)*$C$6)</f>
        <v/>
      </c>
      <c r="K57" s="26">
        <f>IF(H57="","",H57/$C$5*(1+$C$8)+$D57*(1+$C$7)*$C$6)</f>
        <v/>
      </c>
      <c r="L57" s="27">
        <f>IF(I57="","",ROUND(I57*(1+$C$9),2))</f>
        <v/>
      </c>
      <c r="M57" s="27">
        <f>IF(J57="","",ROUND(J57*(1+$C$9),2))</f>
        <v/>
      </c>
      <c r="N57" s="27">
        <f>IF(K57="","",ROUND(K57*(1+$C$9),2))</f>
        <v/>
      </c>
      <c r="O57" s="28">
        <f>TRIM(IF($B57="NOT ASSIGNED","No NW part no. ","")&amp;IFERROR(IF(INDEX(Conversion!$J$2:$J$500,MATCH($A57,Conversion!$B$2:$B$500,0))="Needs review","Conversion table: needs review. ",""),"")&amp;IF(LEFT($E57,8)="ESTIMATE","Weight estimated. ","")&amp;"")</f>
        <v/>
      </c>
    </row>
    <row r="58">
      <c r="A58" s="19" t="inlineStr">
        <is>
          <t>AKRNP01-W</t>
        </is>
      </c>
      <c r="B58" s="20">
        <f>IFERROR(INDEX(Conversion!$C$2:$C$500,MATCH($A58,Conversion!$B$2:$B$500,0)),"NOT ASSIGNED")</f>
        <v/>
      </c>
      <c r="C58" s="21" t="inlineStr">
        <is>
          <t>St.st. water gun, with trigger protection, white</t>
        </is>
      </c>
      <c r="D58" s="22" t="n">
        <v>0.983</v>
      </c>
      <c r="E58" s="23" t="inlineStr">
        <is>
          <t>Cat p.15</t>
        </is>
      </c>
      <c r="F58" s="24" t="n">
        <v>82.562832</v>
      </c>
      <c r="G58" s="24" t="n">
        <v>73.39</v>
      </c>
      <c r="H58" s="25" t="n"/>
      <c r="I58" s="26">
        <f>IF(F58="","",F58/$C$5*(1+$C$8)+$D58*(1+$C$7)*$C$6)</f>
        <v/>
      </c>
      <c r="J58" s="26">
        <f>IF(G58="","",G58/$C$5*(1+$C$8)+$D58*(1+$C$7)*$C$6)</f>
        <v/>
      </c>
      <c r="K58" s="26">
        <f>IF(H58="","",H58/$C$5*(1+$C$8)+$D58*(1+$C$7)*$C$6)</f>
        <v/>
      </c>
      <c r="L58" s="27">
        <f>IF(I58="","",ROUND(I58*(1+$C$9),2))</f>
        <v/>
      </c>
      <c r="M58" s="27">
        <f>IF(J58="","",ROUND(J58*(1+$C$9),2))</f>
        <v/>
      </c>
      <c r="N58" s="27">
        <f>IF(K58="","",ROUND(K58*(1+$C$9),2))</f>
        <v/>
      </c>
      <c r="O58" s="28">
        <f>TRIM(IF($B58="NOT ASSIGNED","No NW part no. ","")&amp;IFERROR(IF(INDEX(Conversion!$J$2:$J$500,MATCH($A58,Conversion!$B$2:$B$500,0))="Needs review","Conversion table: needs review. ",""),"")&amp;IF(LEFT($E58,8)="ESTIMATE","Weight estimated. ","")&amp;"")</f>
        <v/>
      </c>
    </row>
    <row r="60">
      <c r="A60" s="19" t="inlineStr">
        <is>
          <t>AKRHP01-R</t>
        </is>
      </c>
      <c r="B60" s="20">
        <f>IFERROR(INDEX(Conversion!$C$2:$C$500,MATCH($A60,Conversion!$B$2:$B$500,0)),"NOT ASSIGNED")</f>
        <v/>
      </c>
      <c r="C60" s="21" t="inlineStr">
        <is>
          <t>St.st. water gun with trigger protection, Teflon/air handgrip insulation, red</t>
        </is>
      </c>
      <c r="D60" s="22" t="n">
        <v>0.98</v>
      </c>
      <c r="E60" s="23" t="inlineStr">
        <is>
          <t>Cat p.22</t>
        </is>
      </c>
      <c r="F60" s="24" t="n">
        <v>91.747854</v>
      </c>
      <c r="G60" s="24" t="n">
        <v>81.55</v>
      </c>
      <c r="H60" s="25" t="n"/>
      <c r="I60" s="26">
        <f>IF(F60="","",F60/$C$5*(1+$C$8)+$D60*(1+$C$7)*$C$6)</f>
        <v/>
      </c>
      <c r="J60" s="26">
        <f>IF(G60="","",G60/$C$5*(1+$C$8)+$D60*(1+$C$7)*$C$6)</f>
        <v/>
      </c>
      <c r="K60" s="26">
        <f>IF(H60="","",H60/$C$5*(1+$C$8)+$D60*(1+$C$7)*$C$6)</f>
        <v/>
      </c>
      <c r="L60" s="27">
        <f>IF(I60="","",ROUND(I60*(1+$C$9),2))</f>
        <v/>
      </c>
      <c r="M60" s="27">
        <f>IF(J60="","",ROUND(J60*(1+$C$9),2))</f>
        <v/>
      </c>
      <c r="N60" s="27">
        <f>IF(K60="","",ROUND(K60*(1+$C$9),2))</f>
        <v/>
      </c>
      <c r="O60" s="28">
        <f>TRIM(IF($B60="NOT ASSIGNED","No NW part no. ","")&amp;IFERROR(IF(INDEX(Conversion!$J$2:$J$500,MATCH($A60,Conversion!$B$2:$B$500,0))="Needs review","Conversion table: needs review. ",""),"")&amp;IF(LEFT($E60,8)="ESTIMATE","Weight estimated. ","")&amp;"")</f>
        <v/>
      </c>
    </row>
    <row r="61">
      <c r="A61" s="19" t="inlineStr">
        <is>
          <t>AKRHPB1-R</t>
        </is>
      </c>
      <c r="B61" s="20">
        <f>IFERROR(INDEX(Conversion!$C$2:$C$500,MATCH($A61,Conversion!$B$2:$B$500,0)),"NOT ASSIGNED")</f>
        <v/>
      </c>
      <c r="C61" s="21" t="inlineStr">
        <is>
          <t>St.st. water gun, big flow, with trigger protection, Teflon/air handgrip insulation, red</t>
        </is>
      </c>
      <c r="D61" s="22" t="n">
        <v>0.98</v>
      </c>
      <c r="E61" s="23" t="inlineStr">
        <is>
          <t>Cat p.22</t>
        </is>
      </c>
      <c r="F61" s="24" t="n">
        <v>91.747854</v>
      </c>
      <c r="G61" s="24" t="n">
        <v>81.55</v>
      </c>
      <c r="H61" s="25" t="n"/>
      <c r="I61" s="26">
        <f>IF(F61="","",F61/$C$5*(1+$C$8)+$D61*(1+$C$7)*$C$6)</f>
        <v/>
      </c>
      <c r="J61" s="26">
        <f>IF(G61="","",G61/$C$5*(1+$C$8)+$D61*(1+$C$7)*$C$6)</f>
        <v/>
      </c>
      <c r="K61" s="26">
        <f>IF(H61="","",H61/$C$5*(1+$C$8)+$D61*(1+$C$7)*$C$6)</f>
        <v/>
      </c>
      <c r="L61" s="27">
        <f>IF(I61="","",ROUND(I61*(1+$C$9),2))</f>
        <v/>
      </c>
      <c r="M61" s="27">
        <f>IF(J61="","",ROUND(J61*(1+$C$9),2))</f>
        <v/>
      </c>
      <c r="N61" s="27">
        <f>IF(K61="","",ROUND(K61*(1+$C$9),2))</f>
        <v/>
      </c>
      <c r="O61" s="28">
        <f>TRIM(IF($B61="NOT ASSIGNED","No NW part no. ","")&amp;IFERROR(IF(INDEX(Conversion!$J$2:$J$500,MATCH($A61,Conversion!$B$2:$B$500,0))="Needs review","Conversion table: needs review. ",""),"")&amp;IF(LEFT($E61,8)="ESTIMATE","Weight estimated. ","")&amp;"")</f>
        <v/>
      </c>
    </row>
    <row r="62">
      <c r="A62" s="19" t="inlineStr">
        <is>
          <t>AKRHP02-R-L40</t>
        </is>
      </c>
      <c r="B62" s="20">
        <f>IFERROR(INDEX(Conversion!$C$2:$C$500,MATCH($A62,Conversion!$B$2:$B$500,0)),"NOT ASSIGNED")</f>
        <v/>
      </c>
      <c r="C62" s="21" t="inlineStr">
        <is>
          <t>St.st. water gun with trigger protection, Teflon/air handgrip insulation, 40cm lance, red</t>
        </is>
      </c>
      <c r="D62" s="22" t="n">
        <v>1.9</v>
      </c>
      <c r="E62" s="23" t="inlineStr">
        <is>
          <t>Cat p.22</t>
        </is>
      </c>
      <c r="F62" s="24" t="n">
        <v>143.191422</v>
      </c>
      <c r="G62" s="24" t="n">
        <v>127.28</v>
      </c>
      <c r="H62" s="25" t="n"/>
      <c r="I62" s="26">
        <f>IF(F62="","",F62/$C$5*(1+$C$8)+$D62*(1+$C$7)*$C$6)</f>
        <v/>
      </c>
      <c r="J62" s="26">
        <f>IF(G62="","",G62/$C$5*(1+$C$8)+$D62*(1+$C$7)*$C$6)</f>
        <v/>
      </c>
      <c r="K62" s="26">
        <f>IF(H62="","",H62/$C$5*(1+$C$8)+$D62*(1+$C$7)*$C$6)</f>
        <v/>
      </c>
      <c r="L62" s="27">
        <f>IF(I62="","",ROUND(I62*(1+$C$9),2))</f>
        <v/>
      </c>
      <c r="M62" s="27">
        <f>IF(J62="","",ROUND(J62*(1+$C$9),2))</f>
        <v/>
      </c>
      <c r="N62" s="27">
        <f>IF(K62="","",ROUND(K62*(1+$C$9),2))</f>
        <v/>
      </c>
      <c r="O62" s="28">
        <f>TRIM(IF($B62="NOT ASSIGNED","No NW part no. ","")&amp;IFERROR(IF(INDEX(Conversion!$J$2:$J$500,MATCH($A62,Conversion!$B$2:$B$500,0))="Needs review","Conversion table: needs review. ",""),"")&amp;IF(LEFT($E62,8)="ESTIMATE","Weight estimated. ","")&amp;"")</f>
        <v/>
      </c>
    </row>
    <row r="64">
      <c r="A64" s="19" t="inlineStr">
        <is>
          <t>AKRNP01-BL-EX</t>
        </is>
      </c>
      <c r="B64" s="20">
        <f>IFERROR(INDEX(Conversion!$C$2:$C$500,MATCH($A64,Conversion!$B$2:$B$500,0)),"NOT ASSIGNED")</f>
        <v/>
      </c>
      <c r="C64" s="21" t="inlineStr">
        <is>
          <t>St.st. water gun, with trigger protection, EX-covers, black</t>
        </is>
      </c>
      <c r="D64" s="22" t="n">
        <v>0.957</v>
      </c>
      <c r="E64" s="23" t="inlineStr">
        <is>
          <t>Cat p.23</t>
        </is>
      </c>
      <c r="F64" s="24" t="n">
        <v>103.147704</v>
      </c>
      <c r="G64" s="24" t="n">
        <v>91.69</v>
      </c>
      <c r="H64" s="25" t="n"/>
      <c r="I64" s="26">
        <f>IF(F64="","",F64/$C$5*(1+$C$8)+$D64*(1+$C$7)*$C$6)</f>
        <v/>
      </c>
      <c r="J64" s="26">
        <f>IF(G64="","",G64/$C$5*(1+$C$8)+$D64*(1+$C$7)*$C$6)</f>
        <v/>
      </c>
      <c r="K64" s="26">
        <f>IF(H64="","",H64/$C$5*(1+$C$8)+$D64*(1+$C$7)*$C$6)</f>
        <v/>
      </c>
      <c r="L64" s="27">
        <f>IF(I64="","",ROUND(I64*(1+$C$9),2))</f>
        <v/>
      </c>
      <c r="M64" s="27">
        <f>IF(J64="","",ROUND(J64*(1+$C$9),2))</f>
        <v/>
      </c>
      <c r="N64" s="27">
        <f>IF(K64="","",ROUND(K64*(1+$C$9),2))</f>
        <v/>
      </c>
      <c r="O64" s="28">
        <f>TRIM(IF($B64="NOT ASSIGNED","No NW part no. ","")&amp;IFERROR(IF(INDEX(Conversion!$J$2:$J$500,MATCH($A64,Conversion!$B$2:$B$500,0))="Needs review","Conversion table: needs review. ",""),"")&amp;IF(LEFT($E64,8)="ESTIMATE","Weight estimated. ","")&amp;"")</f>
        <v/>
      </c>
    </row>
    <row r="65">
      <c r="A65" s="19" t="inlineStr">
        <is>
          <t>AKRN002-LB-LAT</t>
        </is>
      </c>
      <c r="B65" s="20">
        <f>IFERROR(INDEX(Conversion!$C$2:$C$500,MATCH($A65,Conversion!$B$2:$B$500,0)),"NOT ASSIGNED")</f>
        <v/>
      </c>
      <c r="C65" s="21" t="inlineStr">
        <is>
          <t>St.st. water gun with latex cover, light blue</t>
        </is>
      </c>
      <c r="D65" s="22" t="n">
        <v>0.87</v>
      </c>
      <c r="E65" s="23" t="inlineStr">
        <is>
          <t>Cat p.24</t>
        </is>
      </c>
      <c r="F65" s="24" t="n">
        <v>114.55686</v>
      </c>
      <c r="G65" s="24" t="n">
        <v>101.83</v>
      </c>
      <c r="H65" s="25" t="n"/>
      <c r="I65" s="26">
        <f>IF(F65="","",F65/$C$5*(1+$C$8)+$D65*(1+$C$7)*$C$6)</f>
        <v/>
      </c>
      <c r="J65" s="26">
        <f>IF(G65="","",G65/$C$5*(1+$C$8)+$D65*(1+$C$7)*$C$6)</f>
        <v/>
      </c>
      <c r="K65" s="26">
        <f>IF(H65="","",H65/$C$5*(1+$C$8)+$D65*(1+$C$7)*$C$6)</f>
        <v/>
      </c>
      <c r="L65" s="27">
        <f>IF(I65="","",ROUND(I65*(1+$C$9),2))</f>
        <v/>
      </c>
      <c r="M65" s="27">
        <f>IF(J65="","",ROUND(J65*(1+$C$9),2))</f>
        <v/>
      </c>
      <c r="N65" s="27">
        <f>IF(K65="","",ROUND(K65*(1+$C$9),2))</f>
        <v/>
      </c>
      <c r="O65" s="28">
        <f>TRIM(IF($B65="NOT ASSIGNED","No NW part no. ","")&amp;IFERROR(IF(INDEX(Conversion!$J$2:$J$500,MATCH($A65,Conversion!$B$2:$B$500,0))="Needs review","Conversion table: needs review. ",""),"")&amp;IF(LEFT($E65,8)="ESTIMATE","Weight estimated. ","")&amp;"")</f>
        <v/>
      </c>
    </row>
    <row r="67">
      <c r="A67" s="19" t="inlineStr">
        <is>
          <t>AKRSV01-B</t>
        </is>
      </c>
      <c r="B67" s="20">
        <f>IFERROR(INDEX(Conversion!$C$2:$C$500,MATCH($A67,Conversion!$B$2:$B$500,0)),"NOT ASSIGNED")</f>
        <v/>
      </c>
      <c r="C67" s="21" t="inlineStr">
        <is>
          <t>Versatile stainless steel squeeze valve "Squeezer", blue</t>
        </is>
      </c>
      <c r="D67" s="22" t="n">
        <v>0.635</v>
      </c>
      <c r="E67" s="23" t="inlineStr">
        <is>
          <t>Cat p.A</t>
        </is>
      </c>
      <c r="F67" s="24" t="n">
        <v>63.12</v>
      </c>
      <c r="G67" s="24" t="n">
        <v>59.41</v>
      </c>
      <c r="H67" s="24" t="n">
        <v>51.98</v>
      </c>
      <c r="I67" s="26">
        <f>IF(F67="","",F67/$C$5*(1+$C$8)+$D67*(1+$C$7)*$C$6)</f>
        <v/>
      </c>
      <c r="J67" s="26">
        <f>IF(G67="","",G67/$C$5*(1+$C$8)+$D67*(1+$C$7)*$C$6)</f>
        <v/>
      </c>
      <c r="K67" s="26">
        <f>IF(H67="","",H67/$C$5*(1+$C$8)+$D67*(1+$C$7)*$C$6)</f>
        <v/>
      </c>
      <c r="L67" s="27">
        <f>IF(I67="","",ROUND(I67*(1+$C$9),2))</f>
        <v/>
      </c>
      <c r="M67" s="27">
        <f>IF(J67="","",ROUND(J67*(1+$C$9),2))</f>
        <v/>
      </c>
      <c r="N67" s="27">
        <f>IF(K67="","",ROUND(K67*(1+$C$9),2))</f>
        <v/>
      </c>
      <c r="O67" s="28">
        <f>TRIM(IF($B67="NOT ASSIGNED","No NW part no. ","")&amp;IFERROR(IF(INDEX(Conversion!$J$2:$J$500,MATCH($A67,Conversion!$B$2:$B$500,0))="Needs review","Conversion table: needs review. ",""),"")&amp;IF(LEFT($E67,8)="ESTIMATE","Weight estimated. ","")&amp;"")</f>
        <v/>
      </c>
    </row>
    <row r="68">
      <c r="A68" s="19" t="inlineStr">
        <is>
          <t>AKR001-B</t>
        </is>
      </c>
      <c r="B68" s="20">
        <f>IFERROR(INDEX(Conversion!$C$2:$C$500,MATCH($A68,Conversion!$B$2:$B$500,0)),"NOT ASSIGNED")</f>
        <v/>
      </c>
      <c r="C68" s="21" t="inlineStr">
        <is>
          <t>St, st. shower head, blue</t>
        </is>
      </c>
      <c r="D68" s="22" t="n">
        <v>0.125</v>
      </c>
      <c r="E68" s="23" t="inlineStr">
        <is>
          <t>Cat p.B (catalogue code AKRS001-B)</t>
        </is>
      </c>
      <c r="F68" s="24" t="n">
        <v>18.28</v>
      </c>
      <c r="G68" s="24" t="n">
        <v>17.2</v>
      </c>
      <c r="H68" s="24" t="n">
        <v>15.05</v>
      </c>
      <c r="I68" s="26">
        <f>IF(F68="","",F68/$C$5*(1+$C$8)+$D68*(1+$C$7)*$C$6)</f>
        <v/>
      </c>
      <c r="J68" s="26">
        <f>IF(G68="","",G68/$C$5*(1+$C$8)+$D68*(1+$C$7)*$C$6)</f>
        <v/>
      </c>
      <c r="K68" s="26">
        <f>IF(H68="","",H68/$C$5*(1+$C$8)+$D68*(1+$C$7)*$C$6)</f>
        <v/>
      </c>
      <c r="L68" s="27">
        <f>IF(I68="","",ROUND(I68*(1+$C$9),2))</f>
        <v/>
      </c>
      <c r="M68" s="27">
        <f>IF(J68="","",ROUND(J68*(1+$C$9),2))</f>
        <v/>
      </c>
      <c r="N68" s="27">
        <f>IF(K68="","",ROUND(K68*(1+$C$9),2))</f>
        <v/>
      </c>
      <c r="O68" s="28">
        <f>TRIM(IF($B68="NOT ASSIGNED","No NW part no. ","")&amp;IFERROR(IF(INDEX(Conversion!$J$2:$J$500,MATCH($A68,Conversion!$B$2:$B$500,0))="Needs review","Conversion table: needs review. ",""),"")&amp;IF(LEFT($E68,8)="ESTIMATE","Weight estimated. ","")&amp;"Catalogue code is AKRS001-B - confirm with AKBO.")</f>
        <v/>
      </c>
    </row>
    <row r="70">
      <c r="A70" s="14" t="inlineStr">
        <is>
          <t>Baby water guns</t>
        </is>
      </c>
      <c r="B70" s="15" t="n"/>
      <c r="C70" s="15" t="n"/>
      <c r="D70" s="15" t="n"/>
      <c r="E70" s="15" t="n"/>
      <c r="F70" s="15" t="n"/>
      <c r="G70" s="15" t="n"/>
      <c r="H70" s="15" t="n"/>
      <c r="I70" s="15" t="n"/>
      <c r="J70" s="15" t="n"/>
      <c r="K70" s="15" t="n"/>
      <c r="L70" s="15" t="n"/>
      <c r="M70" s="15" t="n"/>
      <c r="N70" s="15" t="n"/>
      <c r="O70" s="15" t="n"/>
    </row>
    <row r="72">
      <c r="A72" s="16" t="inlineStr">
        <is>
          <t>Qty break</t>
        </is>
      </c>
      <c r="B72" s="17" t="n"/>
      <c r="C72" s="17" t="n"/>
      <c r="D72" s="17" t="n"/>
      <c r="E72" s="17" t="n"/>
      <c r="F72" s="18" t="inlineStr">
        <is>
          <t>&lt; 20 pcs</t>
        </is>
      </c>
      <c r="G72" s="18" t="inlineStr">
        <is>
          <t>≥ 20 pcs</t>
        </is>
      </c>
      <c r="H72" s="18" t="n"/>
      <c r="I72" s="18" t="inlineStr">
        <is>
          <t>&lt; 20 pcs</t>
        </is>
      </c>
      <c r="J72" s="18" t="inlineStr">
        <is>
          <t>≥ 20 pcs</t>
        </is>
      </c>
      <c r="K72" s="18" t="n"/>
      <c r="L72" s="18" t="inlineStr">
        <is>
          <t>&lt; 20 pcs</t>
        </is>
      </c>
      <c r="M72" s="18" t="inlineStr">
        <is>
          <t>≥ 20 pcs</t>
        </is>
      </c>
      <c r="N72" s="18" t="n"/>
      <c r="O72" s="17" t="n"/>
    </row>
    <row r="73">
      <c r="A73" s="30" t="inlineStr">
        <is>
          <t>Baby water guns "aluminium"</t>
        </is>
      </c>
      <c r="B73" s="31" t="n"/>
      <c r="C73" s="31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1" t="n"/>
    </row>
    <row r="75">
      <c r="A75" s="19" t="inlineStr">
        <is>
          <t>BABTN01-B</t>
        </is>
      </c>
      <c r="B75" s="20">
        <f>IFERROR(INDEX(Conversion!$C$2:$C$500,MATCH($A75,Conversion!$B$2:$B$500,0)),"NOT ASSIGNED")</f>
        <v/>
      </c>
      <c r="C75" s="21" t="inlineStr">
        <is>
          <t>Aluminium "baby" water gun, back trigger, blue</t>
        </is>
      </c>
      <c r="D75" s="22" t="n">
        <v>0.36</v>
      </c>
      <c r="E75" s="23" t="inlineStr">
        <is>
          <t>Cat p.18</t>
        </is>
      </c>
      <c r="F75" s="24" t="n">
        <v>19.458846</v>
      </c>
      <c r="G75" s="24" t="n">
        <v>17.296752</v>
      </c>
      <c r="H75" s="25" t="n"/>
      <c r="I75" s="26">
        <f>IF(F75="","",F75/$C$5*(1+$C$8)+$D75*(1+$C$7)*$C$6)</f>
        <v/>
      </c>
      <c r="J75" s="26">
        <f>IF(G75="","",G75/$C$5*(1+$C$8)+$D75*(1+$C$7)*$C$6)</f>
        <v/>
      </c>
      <c r="K75" s="26">
        <f>IF(H75="","",H75/$C$5*(1+$C$8)+$D75*(1+$C$7)*$C$6)</f>
        <v/>
      </c>
      <c r="L75" s="27">
        <f>IF(I75="","",ROUND(I75*(1+$C$9),2))</f>
        <v/>
      </c>
      <c r="M75" s="27">
        <f>IF(J75="","",ROUND(J75*(1+$C$9),2))</f>
        <v/>
      </c>
      <c r="N75" s="27">
        <f>IF(K75="","",ROUND(K75*(1+$C$9),2))</f>
        <v/>
      </c>
      <c r="O75" s="28">
        <f>TRIM(IF($B75="NOT ASSIGNED","No NW part no. ","")&amp;IFERROR(IF(INDEX(Conversion!$J$2:$J$500,MATCH($A75,Conversion!$B$2:$B$500,0))="Needs review","Conversion table: needs review. ",""),"")&amp;IF(LEFT($E75,8)="ESTIMATE","Weight estimated. ","")&amp;"")</f>
        <v/>
      </c>
    </row>
    <row r="76">
      <c r="A76" s="19" t="inlineStr">
        <is>
          <t>BABTLF1-BL</t>
        </is>
      </c>
      <c r="B76" s="20">
        <f>IFERROR(INDEX(Conversion!$C$2:$C$500,MATCH($A76,Conversion!$B$2:$B$500,0)),"NOT ASSIGNED")</f>
        <v/>
      </c>
      <c r="C76" s="21" t="inlineStr">
        <is>
          <t>Aluminium "baby" water gun, back trigger, 1/2" female outlet, black</t>
        </is>
      </c>
      <c r="D76" s="22" t="n">
        <v>0.365</v>
      </c>
      <c r="E76" s="23" t="inlineStr">
        <is>
          <t>Cat p.37</t>
        </is>
      </c>
      <c r="F76" s="24" t="n">
        <v>20.56626</v>
      </c>
      <c r="G76" s="24" t="n">
        <v>18.28112</v>
      </c>
      <c r="H76" s="25" t="n"/>
      <c r="I76" s="26">
        <f>IF(F76="","",F76/$C$5*(1+$C$8)+$D76*(1+$C$7)*$C$6)</f>
        <v/>
      </c>
      <c r="J76" s="26">
        <f>IF(G76="","",G76/$C$5*(1+$C$8)+$D76*(1+$C$7)*$C$6)</f>
        <v/>
      </c>
      <c r="K76" s="26">
        <f>IF(H76="","",H76/$C$5*(1+$C$8)+$D76*(1+$C$7)*$C$6)</f>
        <v/>
      </c>
      <c r="L76" s="27">
        <f>IF(I76="","",ROUND(I76*(1+$C$9),2))</f>
        <v/>
      </c>
      <c r="M76" s="27">
        <f>IF(J76="","",ROUND(J76*(1+$C$9),2))</f>
        <v/>
      </c>
      <c r="N76" s="27">
        <f>IF(K76="","",ROUND(K76*(1+$C$9),2))</f>
        <v/>
      </c>
      <c r="O76" s="28">
        <f>TRIM(IF($B76="NOT ASSIGNED","No NW part no. ","")&amp;IFERROR(IF(INDEX(Conversion!$J$2:$J$500,MATCH($A76,Conversion!$B$2:$B$500,0))="Needs review","Conversion table: needs review. ",""),"")&amp;IF(LEFT($E76,8)="ESTIMATE","Weight estimated. ","")&amp;"")</f>
        <v/>
      </c>
    </row>
    <row r="77">
      <c r="A77" s="19" t="inlineStr">
        <is>
          <t>BABTA01-B</t>
        </is>
      </c>
      <c r="B77" s="20">
        <f>IFERROR(INDEX(Conversion!$C$2:$C$500,MATCH($A77,Conversion!$B$2:$B$500,0)),"NOT ASSIGNED")</f>
        <v/>
      </c>
      <c r="C77" s="21" t="inlineStr">
        <is>
          <t>Aluminium "baby" water gun, back trigger, adapter outlet, blue</t>
        </is>
      </c>
      <c r="D77" s="29" t="n">
        <v>0.365</v>
      </c>
      <c r="E77" s="23" t="inlineStr">
        <is>
          <t>ESTIMATE - not in catalogue; taken as BABTLF1-BL</t>
        </is>
      </c>
      <c r="F77" s="24" t="n">
        <v>20.56626</v>
      </c>
      <c r="G77" s="24" t="n">
        <v>18.28112</v>
      </c>
      <c r="H77" s="25" t="n"/>
      <c r="I77" s="26">
        <f>IF(F77="","",F77/$C$5*(1+$C$8)+$D77*(1+$C$7)*$C$6)</f>
        <v/>
      </c>
      <c r="J77" s="26">
        <f>IF(G77="","",G77/$C$5*(1+$C$8)+$D77*(1+$C$7)*$C$6)</f>
        <v/>
      </c>
      <c r="K77" s="26">
        <f>IF(H77="","",H77/$C$5*(1+$C$8)+$D77*(1+$C$7)*$C$6)</f>
        <v/>
      </c>
      <c r="L77" s="27">
        <f>IF(I77="","",ROUND(I77*(1+$C$9),2))</f>
        <v/>
      </c>
      <c r="M77" s="27">
        <f>IF(J77="","",ROUND(J77*(1+$C$9),2))</f>
        <v/>
      </c>
      <c r="N77" s="27">
        <f>IF(K77="","",ROUND(K77*(1+$C$9),2))</f>
        <v/>
      </c>
      <c r="O77" s="28">
        <f>TRIM(IF($B77="NOT ASSIGNED","No NW part no. ","")&amp;IFERROR(IF(INDEX(Conversion!$J$2:$J$500,MATCH($A77,Conversion!$B$2:$B$500,0))="Needs review","Conversion table: needs review. ",""),"")&amp;IF(LEFT($E77,8)="ESTIMATE","Weight estimated. ","")&amp;"")</f>
        <v/>
      </c>
    </row>
    <row r="78">
      <c r="A78" s="19" t="inlineStr">
        <is>
          <t>BABTNAA-B</t>
        </is>
      </c>
      <c r="B78" s="20">
        <f>IFERROR(INDEX(Conversion!$C$2:$C$500,MATCH($A78,Conversion!$B$2:$B$500,0)),"NOT ASSIGNED")</f>
        <v/>
      </c>
      <c r="C78" s="21" t="inlineStr">
        <is>
          <t>Aluminium "baby" water gun, back trigger, adapter in/output, blue</t>
        </is>
      </c>
      <c r="D78" s="29" t="n">
        <v>0.37</v>
      </c>
      <c r="E78" s="23" t="inlineStr">
        <is>
          <t>ESTIMATE - not in catalogue; BABTN01-B + adapters</t>
        </is>
      </c>
      <c r="F78" s="24" t="n">
        <v>22.7997</v>
      </c>
      <c r="G78" s="24" t="n">
        <v>20.2664</v>
      </c>
      <c r="H78" s="25" t="n"/>
      <c r="I78" s="26">
        <f>IF(F78="","",F78/$C$5*(1+$C$8)+$D78*(1+$C$7)*$C$6)</f>
        <v/>
      </c>
      <c r="J78" s="26">
        <f>IF(G78="","",G78/$C$5*(1+$C$8)+$D78*(1+$C$7)*$C$6)</f>
        <v/>
      </c>
      <c r="K78" s="26">
        <f>IF(H78="","",H78/$C$5*(1+$C$8)+$D78*(1+$C$7)*$C$6)</f>
        <v/>
      </c>
      <c r="L78" s="27">
        <f>IF(I78="","",ROUND(I78*(1+$C$9),2))</f>
        <v/>
      </c>
      <c r="M78" s="27">
        <f>IF(J78="","",ROUND(J78*(1+$C$9),2))</f>
        <v/>
      </c>
      <c r="N78" s="27">
        <f>IF(K78="","",ROUND(K78*(1+$C$9),2))</f>
        <v/>
      </c>
      <c r="O78" s="28">
        <f>TRIM(IF($B78="NOT ASSIGNED","No NW part no. ","")&amp;IFERROR(IF(INDEX(Conversion!$J$2:$J$500,MATCH($A78,Conversion!$B$2:$B$500,0))="Needs review","Conversion table: needs review. ",""),"")&amp;IF(LEFT($E78,8)="ESTIMATE","Weight estimated. ","")&amp;"")</f>
        <v/>
      </c>
    </row>
    <row r="80">
      <c r="A80" s="30" t="inlineStr">
        <is>
          <t>Baby water guns "brass"</t>
        </is>
      </c>
      <c r="B80" s="31" t="n"/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</row>
    <row r="82">
      <c r="A82" s="19" t="inlineStr">
        <is>
          <t>BMBTN01-B</t>
        </is>
      </c>
      <c r="B82" s="20">
        <f>IFERROR(INDEX(Conversion!$C$2:$C$500,MATCH($A82,Conversion!$B$2:$B$500,0)),"NOT ASSIGNED")</f>
        <v/>
      </c>
      <c r="C82" s="21" t="inlineStr">
        <is>
          <t>Brass "baby" water gun, back trigger, blue</t>
        </is>
      </c>
      <c r="D82" s="22" t="n">
        <v>0.622</v>
      </c>
      <c r="E82" s="23" t="inlineStr">
        <is>
          <t>Cat p.18</t>
        </is>
      </c>
      <c r="F82" s="24" t="n">
        <v>22.418154</v>
      </c>
      <c r="G82" s="24" t="n">
        <v>19.927248</v>
      </c>
      <c r="H82" s="25" t="n"/>
      <c r="I82" s="26">
        <f>IF(F82="","",F82/$C$5*(1+$C$8)+$D82*(1+$C$7)*$C$6)</f>
        <v/>
      </c>
      <c r="J82" s="26">
        <f>IF(G82="","",G82/$C$5*(1+$C$8)+$D82*(1+$C$7)*$C$6)</f>
        <v/>
      </c>
      <c r="K82" s="26">
        <f>IF(H82="","",H82/$C$5*(1+$C$8)+$D82*(1+$C$7)*$C$6)</f>
        <v/>
      </c>
      <c r="L82" s="27">
        <f>IF(I82="","",ROUND(I82*(1+$C$9),2))</f>
        <v/>
      </c>
      <c r="M82" s="27">
        <f>IF(J82="","",ROUND(J82*(1+$C$9),2))</f>
        <v/>
      </c>
      <c r="N82" s="27">
        <f>IF(K82="","",ROUND(K82*(1+$C$9),2))</f>
        <v/>
      </c>
      <c r="O82" s="28">
        <f>TRIM(IF($B82="NOT ASSIGNED","No NW part no. ","")&amp;IFERROR(IF(INDEX(Conversion!$J$2:$J$500,MATCH($A82,Conversion!$B$2:$B$500,0))="Needs review","Conversion table: needs review. ",""),"")&amp;IF(LEFT($E82,8)="ESTIMATE","Weight estimated. ","")&amp;"")</f>
        <v/>
      </c>
    </row>
    <row r="83">
      <c r="A83" s="19" t="inlineStr">
        <is>
          <t>BMBNN01-B</t>
        </is>
      </c>
      <c r="B83" s="20">
        <f>IFERROR(INDEX(Conversion!$C$2:$C$500,MATCH($A83,Conversion!$B$2:$B$500,0)),"NOT ASSIGNED")</f>
        <v/>
      </c>
      <c r="C83" s="21" t="inlineStr">
        <is>
          <t>Brass "baby" water gun, back trigger, 1/2" male outlet with adjustable spray pattern, blue</t>
        </is>
      </c>
      <c r="D83" s="22" t="n">
        <v>0.65</v>
      </c>
      <c r="E83" s="23" t="inlineStr">
        <is>
          <t>Cat p.37</t>
        </is>
      </c>
      <c r="F83" s="24" t="n">
        <v>22.418154</v>
      </c>
      <c r="G83" s="24" t="n">
        <v>19.927248</v>
      </c>
      <c r="H83" s="25" t="n"/>
      <c r="I83" s="26">
        <f>IF(F83="","",F83/$C$5*(1+$C$8)+$D83*(1+$C$7)*$C$6)</f>
        <v/>
      </c>
      <c r="J83" s="26">
        <f>IF(G83="","",G83/$C$5*(1+$C$8)+$D83*(1+$C$7)*$C$6)</f>
        <v/>
      </c>
      <c r="K83" s="26">
        <f>IF(H83="","",H83/$C$5*(1+$C$8)+$D83*(1+$C$7)*$C$6)</f>
        <v/>
      </c>
      <c r="L83" s="27">
        <f>IF(I83="","",ROUND(I83*(1+$C$9),2))</f>
        <v/>
      </c>
      <c r="M83" s="27">
        <f>IF(J83="","",ROUND(J83*(1+$C$9),2))</f>
        <v/>
      </c>
      <c r="N83" s="27">
        <f>IF(K83="","",ROUND(K83*(1+$C$9),2))</f>
        <v/>
      </c>
      <c r="O83" s="28">
        <f>TRIM(IF($B83="NOT ASSIGNED","No NW part no. ","")&amp;IFERROR(IF(INDEX(Conversion!$J$2:$J$500,MATCH($A83,Conversion!$B$2:$B$500,0))="Needs review","Conversion table: needs review. ",""),"")&amp;IF(LEFT($E83,8)="ESTIMATE","Weight estimated. ","")&amp;"")</f>
        <v/>
      </c>
    </row>
    <row r="84">
      <c r="A84" s="19" t="inlineStr">
        <is>
          <t>BMBTL01-B</t>
        </is>
      </c>
      <c r="B84" s="20">
        <f>IFERROR(INDEX(Conversion!$C$2:$C$500,MATCH($A84,Conversion!$B$2:$B$500,0)),"NOT ASSIGNED")</f>
        <v/>
      </c>
      <c r="C84" s="21" t="inlineStr">
        <is>
          <t>Brass "baby" water gun, back trigger, 1/2" male outlet, blue</t>
        </is>
      </c>
      <c r="D84" s="29" t="n">
        <v>0.65</v>
      </c>
      <c r="E84" s="23" t="inlineStr">
        <is>
          <t>ESTIMATE - not in catalogue; taken as BMBNN01-B</t>
        </is>
      </c>
      <c r="F84" s="24" t="n">
        <v>23.516262</v>
      </c>
      <c r="G84" s="24" t="n">
        <v>20.903344</v>
      </c>
      <c r="H84" s="25" t="n"/>
      <c r="I84" s="26">
        <f>IF(F84="","",F84/$C$5*(1+$C$8)+$D84*(1+$C$7)*$C$6)</f>
        <v/>
      </c>
      <c r="J84" s="26">
        <f>IF(G84="","",G84/$C$5*(1+$C$8)+$D84*(1+$C$7)*$C$6)</f>
        <v/>
      </c>
      <c r="K84" s="26">
        <f>IF(H84="","",H84/$C$5*(1+$C$8)+$D84*(1+$C$7)*$C$6)</f>
        <v/>
      </c>
      <c r="L84" s="27">
        <f>IF(I84="","",ROUND(I84*(1+$C$9),2))</f>
        <v/>
      </c>
      <c r="M84" s="27">
        <f>IF(J84="","",ROUND(J84*(1+$C$9),2))</f>
        <v/>
      </c>
      <c r="N84" s="27">
        <f>IF(K84="","",ROUND(K84*(1+$C$9),2))</f>
        <v/>
      </c>
      <c r="O84" s="28">
        <f>TRIM(IF($B84="NOT ASSIGNED","No NW part no. ","")&amp;IFERROR(IF(INDEX(Conversion!$J$2:$J$500,MATCH($A84,Conversion!$B$2:$B$500,0))="Needs review","Conversion table: needs review. ",""),"")&amp;IF(LEFT($E84,8)="ESTIMATE","Weight estimated. ","")&amp;"")</f>
        <v/>
      </c>
    </row>
    <row r="85">
      <c r="A85" s="19" t="inlineStr">
        <is>
          <t>BMBTA01-B</t>
        </is>
      </c>
      <c r="B85" s="20">
        <f>IFERROR(INDEX(Conversion!$C$2:$C$500,MATCH($A85,Conversion!$B$2:$B$500,0)),"NOT ASSIGNED")</f>
        <v/>
      </c>
      <c r="C85" s="21" t="inlineStr">
        <is>
          <t>Brass "baby" water gun, back trigger, adapter output, blue</t>
        </is>
      </c>
      <c r="D85" s="29" t="n">
        <v>0.65</v>
      </c>
      <c r="E85" s="23" t="inlineStr">
        <is>
          <t>ESTIMATE - not in catalogue; taken as BMBNN01-B</t>
        </is>
      </c>
      <c r="F85" s="24" t="n">
        <v>23.516262</v>
      </c>
      <c r="G85" s="24" t="n">
        <v>20.903344</v>
      </c>
      <c r="H85" s="25" t="n"/>
      <c r="I85" s="26">
        <f>IF(F85="","",F85/$C$5*(1+$C$8)+$D85*(1+$C$7)*$C$6)</f>
        <v/>
      </c>
      <c r="J85" s="26">
        <f>IF(G85="","",G85/$C$5*(1+$C$8)+$D85*(1+$C$7)*$C$6)</f>
        <v/>
      </c>
      <c r="K85" s="26">
        <f>IF(H85="","",H85/$C$5*(1+$C$8)+$D85*(1+$C$7)*$C$6)</f>
        <v/>
      </c>
      <c r="L85" s="27">
        <f>IF(I85="","",ROUND(I85*(1+$C$9),2))</f>
        <v/>
      </c>
      <c r="M85" s="27">
        <f>IF(J85="","",ROUND(J85*(1+$C$9),2))</f>
        <v/>
      </c>
      <c r="N85" s="27">
        <f>IF(K85="","",ROUND(K85*(1+$C$9),2))</f>
        <v/>
      </c>
      <c r="O85" s="28">
        <f>TRIM(IF($B85="NOT ASSIGNED","No NW part no. ","")&amp;IFERROR(IF(INDEX(Conversion!$J$2:$J$500,MATCH($A85,Conversion!$B$2:$B$500,0))="Needs review","Conversion table: needs review. ",""),"")&amp;IF(LEFT($E85,8)="ESTIMATE","Weight estimated. ","")&amp;"")</f>
        <v/>
      </c>
    </row>
    <row r="86">
      <c r="A86" s="19" t="inlineStr">
        <is>
          <t>BMBTA02-B-V</t>
        </is>
      </c>
      <c r="B86" s="20">
        <f>IFERROR(INDEX(Conversion!$C$2:$C$500,MATCH($A86,Conversion!$B$2:$B$500,0)),"NOT ASSIGNED")</f>
        <v/>
      </c>
      <c r="C86" s="21" t="inlineStr">
        <is>
          <t>Brass "baby" water gun, back trigger, adapter output, viton seals, blue</t>
        </is>
      </c>
      <c r="D86" s="29" t="n">
        <v>0.65</v>
      </c>
      <c r="E86" s="23" t="inlineStr">
        <is>
          <t>ESTIMATE - not in catalogue; taken as BMBNN01-B</t>
        </is>
      </c>
      <c r="F86" s="24" t="n">
        <v>23.516262</v>
      </c>
      <c r="G86" s="24" t="n">
        <v>20.903344</v>
      </c>
      <c r="H86" s="25" t="n"/>
      <c r="I86" s="26">
        <f>IF(F86="","",F86/$C$5*(1+$C$8)+$D86*(1+$C$7)*$C$6)</f>
        <v/>
      </c>
      <c r="J86" s="26">
        <f>IF(G86="","",G86/$C$5*(1+$C$8)+$D86*(1+$C$7)*$C$6)</f>
        <v/>
      </c>
      <c r="K86" s="26">
        <f>IF(H86="","",H86/$C$5*(1+$C$8)+$D86*(1+$C$7)*$C$6)</f>
        <v/>
      </c>
      <c r="L86" s="27">
        <f>IF(I86="","",ROUND(I86*(1+$C$9),2))</f>
        <v/>
      </c>
      <c r="M86" s="27">
        <f>IF(J86="","",ROUND(J86*(1+$C$9),2))</f>
        <v/>
      </c>
      <c r="N86" s="27">
        <f>IF(K86="","",ROUND(K86*(1+$C$9),2))</f>
        <v/>
      </c>
      <c r="O86" s="28">
        <f>TRIM(IF($B86="NOT ASSIGNED","No NW part no. ","")&amp;IFERROR(IF(INDEX(Conversion!$J$2:$J$500,MATCH($A86,Conversion!$B$2:$B$500,0))="Needs review","Conversion table: needs review. ",""),"")&amp;IF(LEFT($E86,8)="ESTIMATE","Weight estimated. ","")&amp;"")</f>
        <v/>
      </c>
    </row>
    <row r="88">
      <c r="A88" s="14" t="inlineStr">
        <is>
          <t>Other water guns</t>
        </is>
      </c>
      <c r="B88" s="15" t="n"/>
      <c r="C88" s="15" t="n"/>
      <c r="D88" s="15" t="n"/>
      <c r="E88" s="15" t="n"/>
      <c r="F88" s="15" t="n"/>
      <c r="G88" s="15" t="n"/>
      <c r="H88" s="15" t="n"/>
      <c r="I88" s="15" t="n"/>
      <c r="J88" s="15" t="n"/>
      <c r="K88" s="15" t="n"/>
      <c r="L88" s="15" t="n"/>
      <c r="M88" s="15" t="n"/>
      <c r="N88" s="15" t="n"/>
      <c r="O88" s="15" t="n"/>
    </row>
    <row r="90">
      <c r="A90" s="16" t="inlineStr">
        <is>
          <t>Qty break</t>
        </is>
      </c>
      <c r="B90" s="17" t="n"/>
      <c r="C90" s="17" t="n"/>
      <c r="D90" s="17" t="n"/>
      <c r="E90" s="17" t="n"/>
      <c r="F90" s="18" t="inlineStr">
        <is>
          <t>&lt; 10 pcs</t>
        </is>
      </c>
      <c r="G90" s="18" t="inlineStr">
        <is>
          <t>≥ 10 pcs</t>
        </is>
      </c>
      <c r="H90" s="18" t="inlineStr">
        <is>
          <t>≥ 50 pcs</t>
        </is>
      </c>
      <c r="I90" s="18" t="inlineStr">
        <is>
          <t>&lt; 10 pcs</t>
        </is>
      </c>
      <c r="J90" s="18" t="inlineStr">
        <is>
          <t>≥ 10 pcs</t>
        </is>
      </c>
      <c r="K90" s="18" t="inlineStr">
        <is>
          <t>≥ 50 pcs</t>
        </is>
      </c>
      <c r="L90" s="18" t="inlineStr">
        <is>
          <t>&lt; 10 pcs</t>
        </is>
      </c>
      <c r="M90" s="18" t="inlineStr">
        <is>
          <t>≥ 10 pcs</t>
        </is>
      </c>
      <c r="N90" s="18" t="inlineStr">
        <is>
          <t>≥ 50 pcs</t>
        </is>
      </c>
      <c r="O90" s="17" t="n"/>
    </row>
    <row r="91">
      <c r="A91" s="19" t="inlineStr">
        <is>
          <t>AGIL572</t>
        </is>
      </c>
      <c r="B91" s="20">
        <f>IFERROR(INDEX(Conversion!$C$2:$C$500,MATCH($A91,Conversion!$B$2:$B$500,0)),"NOT ASSIGNED")</f>
        <v/>
      </c>
      <c r="C91" s="21" t="inlineStr">
        <is>
          <t>Water nozzle light duty, red</t>
        </is>
      </c>
      <c r="D91" s="22" t="n">
        <v>0.2</v>
      </c>
      <c r="E91" s="23" t="inlineStr">
        <is>
          <t>Cat p.29</t>
        </is>
      </c>
      <c r="F91" s="24" t="n">
        <v>11.19</v>
      </c>
      <c r="G91" s="25" t="n"/>
      <c r="H91" s="25" t="n"/>
      <c r="I91" s="26">
        <f>IF(F91="","",F91/$C$5*(1+$C$8)+$D91*(1+$C$7)*$C$6)</f>
        <v/>
      </c>
      <c r="J91" s="26">
        <f>IF(G91="","",G91/$C$5*(1+$C$8)+$D91*(1+$C$7)*$C$6)</f>
        <v/>
      </c>
      <c r="K91" s="26">
        <f>IF(H91="","",H91/$C$5*(1+$C$8)+$D91*(1+$C$7)*$C$6)</f>
        <v/>
      </c>
      <c r="L91" s="27">
        <f>IF(I91="","",ROUND(I91*(1+$C$9),2))</f>
        <v/>
      </c>
      <c r="M91" s="27">
        <f>IF(J91="","",ROUND(J91*(1+$C$9),2))</f>
        <v/>
      </c>
      <c r="N91" s="27">
        <f>IF(K91="","",ROUND(K91*(1+$C$9),2))</f>
        <v/>
      </c>
      <c r="O91" s="28">
        <f>TRIM(IF($B91="NOT ASSIGNED","No NW part no. ","")&amp;IFERROR(IF(INDEX(Conversion!$J$2:$J$500,MATCH($A91,Conversion!$B$2:$B$500,0))="Needs review","Conversion table: needs review. ",""),"")&amp;IF(LEFT($E91,8)="ESTIMATE","Weight estimated. ","")&amp;"AKBO note at 3rd break: '48pcs 9,87'")</f>
        <v/>
      </c>
    </row>
    <row r="93">
      <c r="A93" s="19" t="inlineStr">
        <is>
          <t>AKMSH03-B</t>
        </is>
      </c>
      <c r="B93" s="20">
        <f>IFERROR(INDEX(Conversion!$C$2:$C$500,MATCH($A93,Conversion!$B$2:$B$500,0)),"NOT ASSIGNED")</f>
        <v/>
      </c>
      <c r="C93" s="21" t="inlineStr">
        <is>
          <t>Brass spray head black, blue handgrip</t>
        </is>
      </c>
      <c r="D93" s="22" t="n">
        <v>0.525</v>
      </c>
      <c r="E93" s="23" t="inlineStr">
        <is>
          <t>Cat p.54 (head + brass handle)</t>
        </is>
      </c>
      <c r="F93" s="24" t="n">
        <v>40.971216</v>
      </c>
      <c r="G93" s="24" t="n">
        <v>35.849814</v>
      </c>
      <c r="H93" s="24" t="n">
        <v>33.289113</v>
      </c>
      <c r="I93" s="26">
        <f>IF(F93="","",F93/$C$5*(1+$C$8)+$D93*(1+$C$7)*$C$6)</f>
        <v/>
      </c>
      <c r="J93" s="26">
        <f>IF(G93="","",G93/$C$5*(1+$C$8)+$D93*(1+$C$7)*$C$6)</f>
        <v/>
      </c>
      <c r="K93" s="26">
        <f>IF(H93="","",H93/$C$5*(1+$C$8)+$D93*(1+$C$7)*$C$6)</f>
        <v/>
      </c>
      <c r="L93" s="27">
        <f>IF(I93="","",ROUND(I93*(1+$C$9),2))</f>
        <v/>
      </c>
      <c r="M93" s="27">
        <f>IF(J93="","",ROUND(J93*(1+$C$9),2))</f>
        <v/>
      </c>
      <c r="N93" s="27">
        <f>IF(K93="","",ROUND(K93*(1+$C$9),2))</f>
        <v/>
      </c>
      <c r="O93" s="28">
        <f>TRIM(IF($B93="NOT ASSIGNED","No NW part no. ","")&amp;IFERROR(IF(INDEX(Conversion!$J$2:$J$500,MATCH($A93,Conversion!$B$2:$B$500,0))="Needs review","Conversion table: needs review. ",""),"")&amp;IF(LEFT($E93,8)="ESTIMATE","Weight estimated. ","")&amp;"")</f>
        <v/>
      </c>
    </row>
    <row r="94">
      <c r="A94" s="19" t="inlineStr">
        <is>
          <t>AKMSH03-R</t>
        </is>
      </c>
      <c r="B94" s="20">
        <f>IFERROR(INDEX(Conversion!$C$2:$C$500,MATCH($A94,Conversion!$B$2:$B$500,0)),"NOT ASSIGNED")</f>
        <v/>
      </c>
      <c r="C94" s="21" t="inlineStr">
        <is>
          <t>Brass spray head black, red handgrip</t>
        </is>
      </c>
      <c r="D94" s="22" t="n">
        <v>0.525</v>
      </c>
      <c r="E94" s="23" t="inlineStr">
        <is>
          <t>Cat p.54 (head + brass handle)</t>
        </is>
      </c>
      <c r="F94" s="24" t="n">
        <v>40.971216</v>
      </c>
      <c r="G94" s="24" t="n">
        <v>35.849814</v>
      </c>
      <c r="H94" s="24" t="n">
        <v>33.289113</v>
      </c>
      <c r="I94" s="26">
        <f>IF(F94="","",F94/$C$5*(1+$C$8)+$D94*(1+$C$7)*$C$6)</f>
        <v/>
      </c>
      <c r="J94" s="26">
        <f>IF(G94="","",G94/$C$5*(1+$C$8)+$D94*(1+$C$7)*$C$6)</f>
        <v/>
      </c>
      <c r="K94" s="26">
        <f>IF(H94="","",H94/$C$5*(1+$C$8)+$D94*(1+$C$7)*$C$6)</f>
        <v/>
      </c>
      <c r="L94" s="27">
        <f>IF(I94="","",ROUND(I94*(1+$C$9),2))</f>
        <v/>
      </c>
      <c r="M94" s="27">
        <f>IF(J94="","",ROUND(J94*(1+$C$9),2))</f>
        <v/>
      </c>
      <c r="N94" s="27">
        <f>IF(K94="","",ROUND(K94*(1+$C$9),2))</f>
        <v/>
      </c>
      <c r="O94" s="28">
        <f>TRIM(IF($B94="NOT ASSIGNED","No NW part no. ","")&amp;IFERROR(IF(INDEX(Conversion!$J$2:$J$500,MATCH($A94,Conversion!$B$2:$B$500,0))="Needs review","Conversion table: needs review. ",""),"")&amp;IF(LEFT($E94,8)="ESTIMATE","Weight estimated. ","")&amp;"")</f>
        <v/>
      </c>
    </row>
    <row r="95">
      <c r="A95" s="19" t="inlineStr">
        <is>
          <t>AKMSH03-W</t>
        </is>
      </c>
      <c r="B95" s="20">
        <f>IFERROR(INDEX(Conversion!$C$2:$C$500,MATCH($A95,Conversion!$B$2:$B$500,0)),"NOT ASSIGNED")</f>
        <v/>
      </c>
      <c r="C95" s="21" t="inlineStr">
        <is>
          <t>Brass spray head black, white handgrip</t>
        </is>
      </c>
      <c r="D95" s="22" t="n">
        <v>0.525</v>
      </c>
      <c r="E95" s="23" t="inlineStr">
        <is>
          <t>Cat p.54 (head + brass handle)</t>
        </is>
      </c>
      <c r="F95" s="24" t="n">
        <v>40.971216</v>
      </c>
      <c r="G95" s="24" t="n">
        <v>35.849814</v>
      </c>
      <c r="H95" s="24" t="n">
        <v>33.289113</v>
      </c>
      <c r="I95" s="26">
        <f>IF(F95="","",F95/$C$5*(1+$C$8)+$D95*(1+$C$7)*$C$6)</f>
        <v/>
      </c>
      <c r="J95" s="26">
        <f>IF(G95="","",G95/$C$5*(1+$C$8)+$D95*(1+$C$7)*$C$6)</f>
        <v/>
      </c>
      <c r="K95" s="26">
        <f>IF(H95="","",H95/$C$5*(1+$C$8)+$D95*(1+$C$7)*$C$6)</f>
        <v/>
      </c>
      <c r="L95" s="27">
        <f>IF(I95="","",ROUND(I95*(1+$C$9),2))</f>
        <v/>
      </c>
      <c r="M95" s="27">
        <f>IF(J95="","",ROUND(J95*(1+$C$9),2))</f>
        <v/>
      </c>
      <c r="N95" s="27">
        <f>IF(K95="","",ROUND(K95*(1+$C$9),2))</f>
        <v/>
      </c>
      <c r="O95" s="28">
        <f>TRIM(IF($B95="NOT ASSIGNED","No NW part no. ","")&amp;IFERROR(IF(INDEX(Conversion!$J$2:$J$500,MATCH($A95,Conversion!$B$2:$B$500,0))="Needs review","Conversion table: needs review. ",""),"")&amp;IF(LEFT($E95,8)="ESTIMATE","Weight estimated. ","")&amp;"")</f>
        <v/>
      </c>
    </row>
    <row r="96">
      <c r="A96" s="19" t="inlineStr">
        <is>
          <t>AKMSHH4-BL</t>
        </is>
      </c>
      <c r="B96" s="20">
        <f>IFERROR(INDEX(Conversion!$C$2:$C$500,MATCH($A96,Conversion!$B$2:$B$500,0)),"NOT ASSIGNED")</f>
        <v/>
      </c>
      <c r="C96" s="21" t="inlineStr">
        <is>
          <t>Spray head in brass, black with EPDM &amp; Clipperlon seals</t>
        </is>
      </c>
      <c r="D96" s="22" t="n">
        <v>0.2</v>
      </c>
      <c r="E96" s="23" t="inlineStr">
        <is>
          <t>Cat p.54 (head only)</t>
        </is>
      </c>
      <c r="F96" s="24" t="n">
        <v>30.457504</v>
      </c>
      <c r="G96" s="24" t="n">
        <v>26.650316</v>
      </c>
      <c r="H96" s="24" t="n">
        <v>24.746722</v>
      </c>
      <c r="I96" s="26">
        <f>IF(F96="","",F96/$C$5*(1+$C$8)+$D96*(1+$C$7)*$C$6)</f>
        <v/>
      </c>
      <c r="J96" s="26">
        <f>IF(G96="","",G96/$C$5*(1+$C$8)+$D96*(1+$C$7)*$C$6)</f>
        <v/>
      </c>
      <c r="K96" s="26">
        <f>IF(H96="","",H96/$C$5*(1+$C$8)+$D96*(1+$C$7)*$C$6)</f>
        <v/>
      </c>
      <c r="L96" s="27">
        <f>IF(I96="","",ROUND(I96*(1+$C$9),2))</f>
        <v/>
      </c>
      <c r="M96" s="27">
        <f>IF(J96="","",ROUND(J96*(1+$C$9),2))</f>
        <v/>
      </c>
      <c r="N96" s="27">
        <f>IF(K96="","",ROUND(K96*(1+$C$9),2))</f>
        <v/>
      </c>
      <c r="O96" s="28">
        <f>TRIM(IF($B96="NOT ASSIGNED","No NW part no. ","")&amp;IFERROR(IF(INDEX(Conversion!$J$2:$J$500,MATCH($A96,Conversion!$B$2:$B$500,0))="Needs review","Conversion table: needs review. ",""),"")&amp;IF(LEFT($E96,8)="ESTIMATE","Weight estimated. ","")&amp;"")</f>
        <v/>
      </c>
    </row>
    <row r="98">
      <c r="A98" s="19" t="inlineStr">
        <is>
          <t>AKRSH03-B</t>
        </is>
      </c>
      <c r="B98" s="20">
        <f>IFERROR(INDEX(Conversion!$C$2:$C$500,MATCH($A98,Conversion!$B$2:$B$500,0)),"NOT ASSIGNED")</f>
        <v/>
      </c>
      <c r="C98" s="21" t="inlineStr">
        <is>
          <t>St.st. spray head black, blue handgrip</t>
        </is>
      </c>
      <c r="D98" s="22" t="n">
        <v>0.55</v>
      </c>
      <c r="E98" s="23" t="inlineStr">
        <is>
          <t>Cat p.54 (head + st.st. handle)</t>
        </is>
      </c>
      <c r="F98" s="24" t="n">
        <v>47.117312</v>
      </c>
      <c r="G98" s="24" t="n">
        <v>41.227648</v>
      </c>
      <c r="H98" s="24" t="n">
        <v>38.282816</v>
      </c>
      <c r="I98" s="26">
        <f>IF(F98="","",F98/$C$5*(1+$C$8)+$D98*(1+$C$7)*$C$6)</f>
        <v/>
      </c>
      <c r="J98" s="26">
        <f>IF(G98="","",G98/$C$5*(1+$C$8)+$D98*(1+$C$7)*$C$6)</f>
        <v/>
      </c>
      <c r="K98" s="26">
        <f>IF(H98="","",H98/$C$5*(1+$C$8)+$D98*(1+$C$7)*$C$6)</f>
        <v/>
      </c>
      <c r="L98" s="27">
        <f>IF(I98="","",ROUND(I98*(1+$C$9),2))</f>
        <v/>
      </c>
      <c r="M98" s="27">
        <f>IF(J98="","",ROUND(J98*(1+$C$9),2))</f>
        <v/>
      </c>
      <c r="N98" s="27">
        <f>IF(K98="","",ROUND(K98*(1+$C$9),2))</f>
        <v/>
      </c>
      <c r="O98" s="28">
        <f>TRIM(IF($B98="NOT ASSIGNED","No NW part no. ","")&amp;IFERROR(IF(INDEX(Conversion!$J$2:$J$500,MATCH($A98,Conversion!$B$2:$B$500,0))="Needs review","Conversion table: needs review. ",""),"")&amp;IF(LEFT($E98,8)="ESTIMATE","Weight estimated. ","")&amp;"")</f>
        <v/>
      </c>
    </row>
    <row r="99">
      <c r="A99" s="19" t="inlineStr">
        <is>
          <t>AKRSH03-R</t>
        </is>
      </c>
      <c r="B99" s="20">
        <f>IFERROR(INDEX(Conversion!$C$2:$C$500,MATCH($A99,Conversion!$B$2:$B$500,0)),"NOT ASSIGNED")</f>
        <v/>
      </c>
      <c r="C99" s="21" t="inlineStr">
        <is>
          <t>St.st. spray head black, red handgrip</t>
        </is>
      </c>
      <c r="D99" s="22" t="n">
        <v>0.55</v>
      </c>
      <c r="E99" s="23" t="inlineStr">
        <is>
          <t>Cat p.54 (head + st.st. handle)</t>
        </is>
      </c>
      <c r="F99" s="24" t="n">
        <v>47.117312</v>
      </c>
      <c r="G99" s="24" t="n">
        <v>41.227648</v>
      </c>
      <c r="H99" s="24" t="n">
        <v>38.282816</v>
      </c>
      <c r="I99" s="26">
        <f>IF(F99="","",F99/$C$5*(1+$C$8)+$D99*(1+$C$7)*$C$6)</f>
        <v/>
      </c>
      <c r="J99" s="26">
        <f>IF(G99="","",G99/$C$5*(1+$C$8)+$D99*(1+$C$7)*$C$6)</f>
        <v/>
      </c>
      <c r="K99" s="26">
        <f>IF(H99="","",H99/$C$5*(1+$C$8)+$D99*(1+$C$7)*$C$6)</f>
        <v/>
      </c>
      <c r="L99" s="27">
        <f>IF(I99="","",ROUND(I99*(1+$C$9),2))</f>
        <v/>
      </c>
      <c r="M99" s="27">
        <f>IF(J99="","",ROUND(J99*(1+$C$9),2))</f>
        <v/>
      </c>
      <c r="N99" s="27">
        <f>IF(K99="","",ROUND(K99*(1+$C$9),2))</f>
        <v/>
      </c>
      <c r="O99" s="28">
        <f>TRIM(IF($B99="NOT ASSIGNED","No NW part no. ","")&amp;IFERROR(IF(INDEX(Conversion!$J$2:$J$500,MATCH($A99,Conversion!$B$2:$B$500,0))="Needs review","Conversion table: needs review. ",""),"")&amp;IF(LEFT($E99,8)="ESTIMATE","Weight estimated. ","")&amp;"")</f>
        <v/>
      </c>
    </row>
    <row r="100">
      <c r="A100" s="19" t="inlineStr">
        <is>
          <t>AKRSH03-W</t>
        </is>
      </c>
      <c r="B100" s="20">
        <f>IFERROR(INDEX(Conversion!$C$2:$C$500,MATCH($A100,Conversion!$B$2:$B$500,0)),"NOT ASSIGNED")</f>
        <v/>
      </c>
      <c r="C100" s="21" t="inlineStr">
        <is>
          <t>St.st. spray head black, white handgrip</t>
        </is>
      </c>
      <c r="D100" s="22" t="n">
        <v>0.55</v>
      </c>
      <c r="E100" s="23" t="inlineStr">
        <is>
          <t>Cat p.54 (head + st.st. handle)</t>
        </is>
      </c>
      <c r="F100" s="24" t="n">
        <v>47.117312</v>
      </c>
      <c r="G100" s="24" t="n">
        <v>41.227648</v>
      </c>
      <c r="H100" s="24" t="n">
        <v>38.282816</v>
      </c>
      <c r="I100" s="26">
        <f>IF(F100="","",F100/$C$5*(1+$C$8)+$D100*(1+$C$7)*$C$6)</f>
        <v/>
      </c>
      <c r="J100" s="26">
        <f>IF(G100="","",G100/$C$5*(1+$C$8)+$D100*(1+$C$7)*$C$6)</f>
        <v/>
      </c>
      <c r="K100" s="26">
        <f>IF(H100="","",H100/$C$5*(1+$C$8)+$D100*(1+$C$7)*$C$6)</f>
        <v/>
      </c>
      <c r="L100" s="27">
        <f>IF(I100="","",ROUND(I100*(1+$C$9),2))</f>
        <v/>
      </c>
      <c r="M100" s="27">
        <f>IF(J100="","",ROUND(J100*(1+$C$9),2))</f>
        <v/>
      </c>
      <c r="N100" s="27">
        <f>IF(K100="","",ROUND(K100*(1+$C$9),2))</f>
        <v/>
      </c>
      <c r="O100" s="28">
        <f>TRIM(IF($B100="NOT ASSIGNED","No NW part no. ","")&amp;IFERROR(IF(INDEX(Conversion!$J$2:$J$500,MATCH($A100,Conversion!$B$2:$B$500,0))="Needs review","Conversion table: needs review. ",""),"")&amp;IF(LEFT($E100,8)="ESTIMATE","Weight estimated. ","")&amp;"")</f>
        <v/>
      </c>
    </row>
    <row r="101">
      <c r="A101" s="19" t="inlineStr">
        <is>
          <t>AKRSHW3-W</t>
        </is>
      </c>
      <c r="B101" s="20">
        <f>IFERROR(INDEX(Conversion!$C$2:$C$500,MATCH($A101,Conversion!$B$2:$B$500,0)),"NOT ASSIGNED")</f>
        <v/>
      </c>
      <c r="C101" s="21" t="inlineStr">
        <is>
          <t>St.st. spray head white, white handgrip</t>
        </is>
      </c>
      <c r="D101" s="22" t="n">
        <v>0.55</v>
      </c>
      <c r="E101" s="23" t="inlineStr">
        <is>
          <t>Cat p.54 (head + st.st. handle)</t>
        </is>
      </c>
      <c r="F101" s="24" t="n">
        <v>48.134768</v>
      </c>
      <c r="G101" s="24" t="n">
        <v>42.117922</v>
      </c>
      <c r="H101" s="24" t="n">
        <v>39.109499</v>
      </c>
      <c r="I101" s="26">
        <f>IF(F101="","",F101/$C$5*(1+$C$8)+$D101*(1+$C$7)*$C$6)</f>
        <v/>
      </c>
      <c r="J101" s="26">
        <f>IF(G101="","",G101/$C$5*(1+$C$8)+$D101*(1+$C$7)*$C$6)</f>
        <v/>
      </c>
      <c r="K101" s="26">
        <f>IF(H101="","",H101/$C$5*(1+$C$8)+$D101*(1+$C$7)*$C$6)</f>
        <v/>
      </c>
      <c r="L101" s="27">
        <f>IF(I101="","",ROUND(I101*(1+$C$9),2))</f>
        <v/>
      </c>
      <c r="M101" s="27">
        <f>IF(J101="","",ROUND(J101*(1+$C$9),2))</f>
        <v/>
      </c>
      <c r="N101" s="27">
        <f>IF(K101="","",ROUND(K101*(1+$C$9),2))</f>
        <v/>
      </c>
      <c r="O101" s="28">
        <f>TRIM(IF($B101="NOT ASSIGNED","No NW part no. ","")&amp;IFERROR(IF(INDEX(Conversion!$J$2:$J$500,MATCH($A101,Conversion!$B$2:$B$500,0))="Needs review","Conversion table: needs review. ",""),"")&amp;IF(LEFT($E101,8)="ESTIMATE","Weight estimated. ","")&amp;"")</f>
        <v/>
      </c>
    </row>
    <row r="102">
      <c r="A102" s="19" t="inlineStr">
        <is>
          <t>AKRSHH4-BL</t>
        </is>
      </c>
      <c r="B102" s="20">
        <f>IFERROR(INDEX(Conversion!$C$2:$C$500,MATCH($A102,Conversion!$B$2:$B$500,0)),"NOT ASSIGNED")</f>
        <v/>
      </c>
      <c r="C102" s="21" t="inlineStr">
        <is>
          <t>Spray head in stainless steel, black with EPDM &amp; Clipperlon seals</t>
        </is>
      </c>
      <c r="D102" s="22" t="n">
        <v>0.2</v>
      </c>
      <c r="E102" s="23" t="inlineStr">
        <is>
          <t>Cat p.54 (head only)</t>
        </is>
      </c>
      <c r="F102" s="24" t="n">
        <v>36.553968</v>
      </c>
      <c r="G102" s="24" t="n">
        <v>31.984722</v>
      </c>
      <c r="H102" s="24" t="n">
        <v>29.700099</v>
      </c>
      <c r="I102" s="26">
        <f>IF(F102="","",F102/$C$5*(1+$C$8)+$D102*(1+$C$7)*$C$6)</f>
        <v/>
      </c>
      <c r="J102" s="26">
        <f>IF(G102="","",G102/$C$5*(1+$C$8)+$D102*(1+$C$7)*$C$6)</f>
        <v/>
      </c>
      <c r="K102" s="26">
        <f>IF(H102="","",H102/$C$5*(1+$C$8)+$D102*(1+$C$7)*$C$6)</f>
        <v/>
      </c>
      <c r="L102" s="27">
        <f>IF(I102="","",ROUND(I102*(1+$C$9),2))</f>
        <v/>
      </c>
      <c r="M102" s="27">
        <f>IF(J102="","",ROUND(J102*(1+$C$9),2))</f>
        <v/>
      </c>
      <c r="N102" s="27">
        <f>IF(K102="","",ROUND(K102*(1+$C$9),2))</f>
        <v/>
      </c>
      <c r="O102" s="28">
        <f>TRIM(IF($B102="NOT ASSIGNED","No NW part no. ","")&amp;IFERROR(IF(INDEX(Conversion!$J$2:$J$500,MATCH($A102,Conversion!$B$2:$B$500,0))="Needs review","Conversion table: needs review. ",""),"")&amp;IF(LEFT($E102,8)="ESTIMATE","Weight estimated. ","")&amp;"")</f>
        <v/>
      </c>
    </row>
    <row r="103">
      <c r="A103" s="19" t="inlineStr">
        <is>
          <t>AKRSHH4-W</t>
        </is>
      </c>
      <c r="B103" s="20">
        <f>IFERROR(INDEX(Conversion!$C$2:$C$500,MATCH($A103,Conversion!$B$2:$B$500,0)),"NOT ASSIGNED")</f>
        <v/>
      </c>
      <c r="C103" s="21" t="inlineStr">
        <is>
          <t>Spray head in stainless steel, white with EPDM &amp; Clipperlon seals</t>
        </is>
      </c>
      <c r="D103" s="22" t="n">
        <v>0.2</v>
      </c>
      <c r="E103" s="23" t="inlineStr">
        <is>
          <t>Cat p.54 (head only)</t>
        </is>
      </c>
      <c r="F103" s="24" t="n">
        <v>37.621056</v>
      </c>
      <c r="G103" s="24" t="n">
        <v>32.918424</v>
      </c>
      <c r="H103" s="24" t="n">
        <v>30.567108</v>
      </c>
      <c r="I103" s="26">
        <f>IF(F103="","",F103/$C$5*(1+$C$8)+$D103*(1+$C$7)*$C$6)</f>
        <v/>
      </c>
      <c r="J103" s="26">
        <f>IF(G103="","",G103/$C$5*(1+$C$8)+$D103*(1+$C$7)*$C$6)</f>
        <v/>
      </c>
      <c r="K103" s="26">
        <f>IF(H103="","",H103/$C$5*(1+$C$8)+$D103*(1+$C$7)*$C$6)</f>
        <v/>
      </c>
      <c r="L103" s="27">
        <f>IF(I103="","",ROUND(I103*(1+$C$9),2))</f>
        <v/>
      </c>
      <c r="M103" s="27">
        <f>IF(J103="","",ROUND(J103*(1+$C$9),2))</f>
        <v/>
      </c>
      <c r="N103" s="27">
        <f>IF(K103="","",ROUND(K103*(1+$C$9),2))</f>
        <v/>
      </c>
      <c r="O103" s="28">
        <f>TRIM(IF($B103="NOT ASSIGNED","No NW part no. ","")&amp;IFERROR(IF(INDEX(Conversion!$J$2:$J$500,MATCH($A103,Conversion!$B$2:$B$500,0))="Needs review","Conversion table: needs review. ",""),"")&amp;IF(LEFT($E103,8)="ESTIMATE","Weight estimated. ","")&amp;"")</f>
        <v/>
      </c>
    </row>
    <row r="105">
      <c r="A105" s="19" t="inlineStr">
        <is>
          <t>AKNSH01-B</t>
        </is>
      </c>
      <c r="B105" s="20">
        <f>IFERROR(INDEX(Conversion!$C$2:$C$500,MATCH($A105,Conversion!$B$2:$B$500,0)),"NOT ASSIGNED")</f>
        <v/>
      </c>
      <c r="C105" s="21" t="inlineStr">
        <is>
          <t>Light weight spray head, blue, 3/4" BSP male</t>
        </is>
      </c>
      <c r="D105" s="22" t="n">
        <v>0.245</v>
      </c>
      <c r="E105" s="23" t="inlineStr">
        <is>
          <t>Cat p.56</t>
        </is>
      </c>
      <c r="F105" s="24" t="n">
        <v>29.067808</v>
      </c>
      <c r="G105" s="24" t="n">
        <v>25.434332</v>
      </c>
      <c r="H105" s="24" t="n">
        <v>23.617594</v>
      </c>
      <c r="I105" s="26">
        <f>IF(F105="","",F105/$C$5*(1+$C$8)+$D105*(1+$C$7)*$C$6)</f>
        <v/>
      </c>
      <c r="J105" s="26">
        <f>IF(G105="","",G105/$C$5*(1+$C$8)+$D105*(1+$C$7)*$C$6)</f>
        <v/>
      </c>
      <c r="K105" s="26">
        <f>IF(H105="","",H105/$C$5*(1+$C$8)+$D105*(1+$C$7)*$C$6)</f>
        <v/>
      </c>
      <c r="L105" s="27">
        <f>IF(I105="","",ROUND(I105*(1+$C$9),2))</f>
        <v/>
      </c>
      <c r="M105" s="27">
        <f>IF(J105="","",ROUND(J105*(1+$C$9),2))</f>
        <v/>
      </c>
      <c r="N105" s="27">
        <f>IF(K105="","",ROUND(K105*(1+$C$9),2))</f>
        <v/>
      </c>
      <c r="O105" s="28">
        <f>TRIM(IF($B105="NOT ASSIGNED","No NW part no. ","")&amp;IFERROR(IF(INDEX(Conversion!$J$2:$J$500,MATCH($A105,Conversion!$B$2:$B$500,0))="Needs review","Conversion table: needs review. ",""),"")&amp;IF(LEFT($E105,8)="ESTIMATE","Weight estimated. ","")&amp;"")</f>
        <v/>
      </c>
    </row>
    <row r="107">
      <c r="A107" s="19" t="inlineStr">
        <is>
          <t>AKMSHHL1-BL</t>
        </is>
      </c>
      <c r="B107" s="20">
        <f>IFERROR(INDEX(Conversion!$C$2:$C$500,MATCH($A107,Conversion!$B$2:$B$500,0)),"NOT ASSIGNED")</f>
        <v/>
      </c>
      <c r="C107" s="21" t="inlineStr">
        <is>
          <t>Brass water saving spray head, black</t>
        </is>
      </c>
      <c r="D107" s="29" t="n">
        <v>0.21</v>
      </c>
      <c r="E107" s="23" t="inlineStr">
        <is>
          <t>ESTIMATE - AKMSHL1-B 510 g less GRIPML1-B 300 g (p.53/55)</t>
        </is>
      </c>
      <c r="F107" s="24" t="n">
        <v>19.513648</v>
      </c>
      <c r="G107" s="24" t="n">
        <v>17.074442</v>
      </c>
      <c r="H107" s="24" t="n">
        <v>15.854839</v>
      </c>
      <c r="I107" s="26">
        <f>IF(F107="","",F107/$C$5*(1+$C$8)+$D107*(1+$C$7)*$C$6)</f>
        <v/>
      </c>
      <c r="J107" s="26">
        <f>IF(G107="","",G107/$C$5*(1+$C$8)+$D107*(1+$C$7)*$C$6)</f>
        <v/>
      </c>
      <c r="K107" s="26">
        <f>IF(H107="","",H107/$C$5*(1+$C$8)+$D107*(1+$C$7)*$C$6)</f>
        <v/>
      </c>
      <c r="L107" s="27">
        <f>IF(I107="","",ROUND(I107*(1+$C$9),2))</f>
        <v/>
      </c>
      <c r="M107" s="27">
        <f>IF(J107="","",ROUND(J107*(1+$C$9),2))</f>
        <v/>
      </c>
      <c r="N107" s="27">
        <f>IF(K107="","",ROUND(K107*(1+$C$9),2))</f>
        <v/>
      </c>
      <c r="O107" s="28">
        <f>TRIM(IF($B107="NOT ASSIGNED","No NW part no. ","")&amp;IFERROR(IF(INDEX(Conversion!$J$2:$J$500,MATCH($A107,Conversion!$B$2:$B$500,0))="Needs review","Conversion table: needs review. ",""),"")&amp;IF(LEFT($E107,8)="ESTIMATE","Weight estimated. ","")&amp;"")</f>
        <v/>
      </c>
    </row>
    <row r="108">
      <c r="A108" s="19" t="inlineStr">
        <is>
          <t>AKMSHL1-B</t>
        </is>
      </c>
      <c r="B108" s="20">
        <f>IFERROR(INDEX(Conversion!$C$2:$C$500,MATCH($A108,Conversion!$B$2:$B$500,0)),"NOT ASSIGNED")</f>
        <v/>
      </c>
      <c r="C108" s="21" t="inlineStr">
        <is>
          <t>Brass water saving spray head with handgrip, blue</t>
        </is>
      </c>
      <c r="D108" s="22" t="n">
        <v>0.51</v>
      </c>
      <c r="E108" s="23" t="inlineStr">
        <is>
          <t>Cat p.53</t>
        </is>
      </c>
      <c r="F108" s="24" t="n">
        <v>31.6404</v>
      </c>
      <c r="G108" s="24" t="n">
        <v>27.68535</v>
      </c>
      <c r="H108" s="24" t="n">
        <v>25.707825</v>
      </c>
      <c r="I108" s="26">
        <f>IF(F108="","",F108/$C$5*(1+$C$8)+$D108*(1+$C$7)*$C$6)</f>
        <v/>
      </c>
      <c r="J108" s="26">
        <f>IF(G108="","",G108/$C$5*(1+$C$8)+$D108*(1+$C$7)*$C$6)</f>
        <v/>
      </c>
      <c r="K108" s="26">
        <f>IF(H108="","",H108/$C$5*(1+$C$8)+$D108*(1+$C$7)*$C$6)</f>
        <v/>
      </c>
      <c r="L108" s="27">
        <f>IF(I108="","",ROUND(I108*(1+$C$9),2))</f>
        <v/>
      </c>
      <c r="M108" s="27">
        <f>IF(J108="","",ROUND(J108*(1+$C$9),2))</f>
        <v/>
      </c>
      <c r="N108" s="27">
        <f>IF(K108="","",ROUND(K108*(1+$C$9),2))</f>
        <v/>
      </c>
      <c r="O108" s="28">
        <f>TRIM(IF($B108="NOT ASSIGNED","No NW part no. ","")&amp;IFERROR(IF(INDEX(Conversion!$J$2:$J$500,MATCH($A108,Conversion!$B$2:$B$500,0))="Needs review","Conversion table: needs review. ",""),"")&amp;IF(LEFT($E108,8)="ESTIMATE","Weight estimated. ","")&amp;"")</f>
        <v/>
      </c>
    </row>
    <row r="109">
      <c r="A109" s="19" t="inlineStr">
        <is>
          <t>AKRSHHL1-BL</t>
        </is>
      </c>
      <c r="B109" s="20">
        <f>IFERROR(INDEX(Conversion!$C$2:$C$500,MATCH($A109,Conversion!$B$2:$B$500,0)),"NOT ASSIGNED")</f>
        <v/>
      </c>
      <c r="C109" s="21" t="inlineStr">
        <is>
          <t>St. st. water saving spray head, black</t>
        </is>
      </c>
      <c r="D109" s="29" t="n">
        <v>0.21</v>
      </c>
      <c r="E109" s="23" t="inlineStr">
        <is>
          <t>ESTIMATE - AKRSHL1-B 550 g less GRIPRL1-B 340 g (p.53/55)</t>
        </is>
      </c>
      <c r="F109" s="24" t="n">
        <v>31.954736</v>
      </c>
      <c r="G109" s="24" t="n">
        <v>27.960394</v>
      </c>
      <c r="H109" s="24" t="n">
        <v>25.963223</v>
      </c>
      <c r="I109" s="26">
        <f>IF(F109="","",F109/$C$5*(1+$C$8)+$D109*(1+$C$7)*$C$6)</f>
        <v/>
      </c>
      <c r="J109" s="26">
        <f>IF(G109="","",G109/$C$5*(1+$C$8)+$D109*(1+$C$7)*$C$6)</f>
        <v/>
      </c>
      <c r="K109" s="26">
        <f>IF(H109="","",H109/$C$5*(1+$C$8)+$D109*(1+$C$7)*$C$6)</f>
        <v/>
      </c>
      <c r="L109" s="27">
        <f>IF(I109="","",ROUND(I109*(1+$C$9),2))</f>
        <v/>
      </c>
      <c r="M109" s="27">
        <f>IF(J109="","",ROUND(J109*(1+$C$9),2))</f>
        <v/>
      </c>
      <c r="N109" s="27">
        <f>IF(K109="","",ROUND(K109*(1+$C$9),2))</f>
        <v/>
      </c>
      <c r="O109" s="28">
        <f>TRIM(IF($B109="NOT ASSIGNED","No NW part no. ","")&amp;IFERROR(IF(INDEX(Conversion!$J$2:$J$500,MATCH($A109,Conversion!$B$2:$B$500,0))="Needs review","Conversion table: needs review. ",""),"")&amp;IF(LEFT($E109,8)="ESTIMATE","Weight estimated. ","")&amp;"")</f>
        <v/>
      </c>
    </row>
    <row r="110">
      <c r="A110" s="19" t="inlineStr">
        <is>
          <t>AKRSHL1-B</t>
        </is>
      </c>
      <c r="B110" s="20">
        <f>IFERROR(INDEX(Conversion!$C$2:$C$500,MATCH($A110,Conversion!$B$2:$B$500,0)),"NOT ASSIGNED")</f>
        <v/>
      </c>
      <c r="C110" s="21" t="inlineStr">
        <is>
          <t>St. st. water saving spray head with handgrip, blue</t>
        </is>
      </c>
      <c r="D110" s="22" t="n">
        <v>0.55</v>
      </c>
      <c r="E110" s="23" t="inlineStr">
        <is>
          <t>Cat p.53</t>
        </is>
      </c>
      <c r="F110" s="24" t="n">
        <v>41.996944</v>
      </c>
      <c r="G110" s="24" t="n">
        <v>36.747326</v>
      </c>
      <c r="H110" s="24" t="n">
        <v>34.122517</v>
      </c>
      <c r="I110" s="26">
        <f>IF(F110="","",F110/$C$5*(1+$C$8)+$D110*(1+$C$7)*$C$6)</f>
        <v/>
      </c>
      <c r="J110" s="26">
        <f>IF(G110="","",G110/$C$5*(1+$C$8)+$D110*(1+$C$7)*$C$6)</f>
        <v/>
      </c>
      <c r="K110" s="26">
        <f>IF(H110="","",H110/$C$5*(1+$C$8)+$D110*(1+$C$7)*$C$6)</f>
        <v/>
      </c>
      <c r="L110" s="27">
        <f>IF(I110="","",ROUND(I110*(1+$C$9),2))</f>
        <v/>
      </c>
      <c r="M110" s="27">
        <f>IF(J110="","",ROUND(J110*(1+$C$9),2))</f>
        <v/>
      </c>
      <c r="N110" s="27">
        <f>IF(K110="","",ROUND(K110*(1+$C$9),2))</f>
        <v/>
      </c>
      <c r="O110" s="28">
        <f>TRIM(IF($B110="NOT ASSIGNED","No NW part no. ","")&amp;IFERROR(IF(INDEX(Conversion!$J$2:$J$500,MATCH($A110,Conversion!$B$2:$B$500,0))="Needs review","Conversion table: needs review. ",""),"")&amp;IF(LEFT($E110,8)="ESTIMATE","Weight estimated. ","")&amp;"")</f>
        <v/>
      </c>
    </row>
    <row r="111">
      <c r="A111" s="19" t="inlineStr">
        <is>
          <t>AKRSHL1-W</t>
        </is>
      </c>
      <c r="B111" s="20">
        <f>IFERROR(INDEX(Conversion!$C$2:$C$500,MATCH($A111,Conversion!$B$2:$B$500,0)),"NOT ASSIGNED")</f>
        <v/>
      </c>
      <c r="C111" s="21" t="inlineStr">
        <is>
          <t>St. st. water saving spray head with handgrip, white</t>
        </is>
      </c>
      <c r="D111" s="22" t="n">
        <v>0.55</v>
      </c>
      <c r="E111" s="23" t="inlineStr">
        <is>
          <t>Cat p.53 (as AKRSHL1-B)</t>
        </is>
      </c>
      <c r="F111" s="24" t="n">
        <v>41.996944</v>
      </c>
      <c r="G111" s="24" t="n">
        <v>36.747326</v>
      </c>
      <c r="H111" s="24" t="n">
        <v>34.122517</v>
      </c>
      <c r="I111" s="26">
        <f>IF(F111="","",F111/$C$5*(1+$C$8)+$D111*(1+$C$7)*$C$6)</f>
        <v/>
      </c>
      <c r="J111" s="26">
        <f>IF(G111="","",G111/$C$5*(1+$C$8)+$D111*(1+$C$7)*$C$6)</f>
        <v/>
      </c>
      <c r="K111" s="26">
        <f>IF(H111="","",H111/$C$5*(1+$C$8)+$D111*(1+$C$7)*$C$6)</f>
        <v/>
      </c>
      <c r="L111" s="27">
        <f>IF(I111="","",ROUND(I111*(1+$C$9),2))</f>
        <v/>
      </c>
      <c r="M111" s="27">
        <f>IF(J111="","",ROUND(J111*(1+$C$9),2))</f>
        <v/>
      </c>
      <c r="N111" s="27">
        <f>IF(K111="","",ROUND(K111*(1+$C$9),2))</f>
        <v/>
      </c>
      <c r="O111" s="28">
        <f>TRIM(IF($B111="NOT ASSIGNED","No NW part no. ","")&amp;IFERROR(IF(INDEX(Conversion!$J$2:$J$500,MATCH($A111,Conversion!$B$2:$B$500,0))="Needs review","Conversion table: needs review. ",""),"")&amp;IF(LEFT($E111,8)="ESTIMATE","Weight estimated. ","")&amp;"")</f>
        <v/>
      </c>
    </row>
    <row r="113">
      <c r="A113" s="19" t="inlineStr">
        <is>
          <t>TWRWR02M</t>
        </is>
      </c>
      <c r="B113" s="20">
        <f>IFERROR(INDEX(Conversion!$C$2:$C$500,MATCH($A113,Conversion!$B$2:$B$500,0)),"NOT ASSIGNED")</f>
        <v/>
      </c>
      <c r="C113" s="21" t="inlineStr">
        <is>
          <t>St. st. industrial spray head Twister M, white with red protection, inlet 1/2" BSP male</t>
        </is>
      </c>
      <c r="D113" s="22" t="n">
        <v>0.345</v>
      </c>
      <c r="E113" s="23" t="inlineStr">
        <is>
          <t>Cat p.57</t>
        </is>
      </c>
      <c r="F113" s="24" t="n">
        <v>47.307568</v>
      </c>
      <c r="G113" s="24" t="n">
        <v>41.394122</v>
      </c>
      <c r="H113" s="24" t="n">
        <v>38.437399</v>
      </c>
      <c r="I113" s="26">
        <f>IF(F113="","",F113/$C$5*(1+$C$8)+$D113*(1+$C$7)*$C$6)</f>
        <v/>
      </c>
      <c r="J113" s="26">
        <f>IF(G113="","",G113/$C$5*(1+$C$8)+$D113*(1+$C$7)*$C$6)</f>
        <v/>
      </c>
      <c r="K113" s="26">
        <f>IF(H113="","",H113/$C$5*(1+$C$8)+$D113*(1+$C$7)*$C$6)</f>
        <v/>
      </c>
      <c r="L113" s="27">
        <f>IF(I113="","",ROUND(I113*(1+$C$9),2))</f>
        <v/>
      </c>
      <c r="M113" s="27">
        <f>IF(J113="","",ROUND(J113*(1+$C$9),2))</f>
        <v/>
      </c>
      <c r="N113" s="27">
        <f>IF(K113="","",ROUND(K113*(1+$C$9),2))</f>
        <v/>
      </c>
      <c r="O113" s="28">
        <f>TRIM(IF($B113="NOT ASSIGNED","No NW part no. ","")&amp;IFERROR(IF(INDEX(Conversion!$J$2:$J$500,MATCH($A113,Conversion!$B$2:$B$500,0))="Needs review","Conversion table: needs review. ",""),"")&amp;IF(LEFT($E113,8)="ESTIMATE","Weight estimated. ","")&amp;"")</f>
        <v/>
      </c>
    </row>
    <row r="114">
      <c r="A114" s="19" t="inlineStr">
        <is>
          <t>TWRWR02L</t>
        </is>
      </c>
      <c r="B114" s="20">
        <f>IFERROR(INDEX(Conversion!$C$2:$C$500,MATCH($A114,Conversion!$B$2:$B$500,0)),"NOT ASSIGNED")</f>
        <v/>
      </c>
      <c r="C114" s="21" t="inlineStr">
        <is>
          <t>St. st. industrial spray head Twister L, white with red protection, inlet 3/4" BSP male</t>
        </is>
      </c>
      <c r="D114" s="22" t="n">
        <v>0.48</v>
      </c>
      <c r="E114" s="23" t="inlineStr">
        <is>
          <t>Cat p.57</t>
        </is>
      </c>
      <c r="F114" s="24" t="n">
        <v>56.406768</v>
      </c>
      <c r="G114" s="24" t="n">
        <v>49.355922</v>
      </c>
      <c r="H114" s="24" t="n">
        <v>45.830499</v>
      </c>
      <c r="I114" s="26">
        <f>IF(F114="","",F114/$C$5*(1+$C$8)+$D114*(1+$C$7)*$C$6)</f>
        <v/>
      </c>
      <c r="J114" s="26">
        <f>IF(G114="","",G114/$C$5*(1+$C$8)+$D114*(1+$C$7)*$C$6)</f>
        <v/>
      </c>
      <c r="K114" s="26">
        <f>IF(H114="","",H114/$C$5*(1+$C$8)+$D114*(1+$C$7)*$C$6)</f>
        <v/>
      </c>
      <c r="L114" s="27">
        <f>IF(I114="","",ROUND(I114*(1+$C$9),2))</f>
        <v/>
      </c>
      <c r="M114" s="27">
        <f>IF(J114="","",ROUND(J114*(1+$C$9),2))</f>
        <v/>
      </c>
      <c r="N114" s="27">
        <f>IF(K114="","",ROUND(K114*(1+$C$9),2))</f>
        <v/>
      </c>
      <c r="O114" s="28">
        <f>TRIM(IF($B114="NOT ASSIGNED","No NW part no. ","")&amp;IFERROR(IF(INDEX(Conversion!$J$2:$J$500,MATCH($A114,Conversion!$B$2:$B$500,0))="Needs review","Conversion table: needs review. ",""),"")&amp;IF(LEFT($E114,8)="ESTIMATE","Weight estimated. ","")&amp;"")</f>
        <v/>
      </c>
    </row>
    <row r="115">
      <c r="A115" s="19" t="inlineStr">
        <is>
          <t>TWRWR02XL</t>
        </is>
      </c>
      <c r="B115" s="20">
        <f>IFERROR(INDEX(Conversion!$C$2:$C$500,MATCH($A115,Conversion!$B$2:$B$500,0)),"NOT ASSIGNED")</f>
        <v/>
      </c>
      <c r="C115" s="21" t="inlineStr">
        <is>
          <t>St. st. industrial spray head Twister XL, white with red protection, inlet 1" BSP male</t>
        </is>
      </c>
      <c r="D115" s="22" t="n">
        <v>0.8</v>
      </c>
      <c r="E115" s="23" t="inlineStr">
        <is>
          <t>Cat p.57</t>
        </is>
      </c>
      <c r="F115" s="24" t="n">
        <v>60.046448</v>
      </c>
      <c r="G115" s="24" t="n">
        <v>52.540642</v>
      </c>
      <c r="H115" s="24" t="n">
        <v>48.787739</v>
      </c>
      <c r="I115" s="26">
        <f>IF(F115="","",F115/$C$5*(1+$C$8)+$D115*(1+$C$7)*$C$6)</f>
        <v/>
      </c>
      <c r="J115" s="26">
        <f>IF(G115="","",G115/$C$5*(1+$C$8)+$D115*(1+$C$7)*$C$6)</f>
        <v/>
      </c>
      <c r="K115" s="26">
        <f>IF(H115="","",H115/$C$5*(1+$C$8)+$D115*(1+$C$7)*$C$6)</f>
        <v/>
      </c>
      <c r="L115" s="27">
        <f>IF(I115="","",ROUND(I115*(1+$C$9),2))</f>
        <v/>
      </c>
      <c r="M115" s="27">
        <f>IF(J115="","",ROUND(J115*(1+$C$9),2))</f>
        <v/>
      </c>
      <c r="N115" s="27">
        <f>IF(K115="","",ROUND(K115*(1+$C$9),2))</f>
        <v/>
      </c>
      <c r="O115" s="28">
        <f>TRIM(IF($B115="NOT ASSIGNED","No NW part no. ","")&amp;IFERROR(IF(INDEX(Conversion!$J$2:$J$500,MATCH($A115,Conversion!$B$2:$B$500,0))="Needs review","Conversion table: needs review. ",""),"")&amp;IF(LEFT($E115,8)="ESTIMATE","Weight estimated. ","")&amp;"")</f>
        <v/>
      </c>
    </row>
    <row r="117">
      <c r="A117" s="19" t="inlineStr">
        <is>
          <t>AKAWLU1-B</t>
        </is>
      </c>
      <c r="B117" s="20">
        <f>IFERROR(INDEX(Conversion!$C$2:$C$500,MATCH($A117,Conversion!$B$2:$B$500,0)),"NOT ASSIGNED")</f>
        <v/>
      </c>
      <c r="C117" s="21" t="inlineStr">
        <is>
          <t>Air/water gun, blue</t>
        </is>
      </c>
      <c r="D117" s="22" t="n">
        <v>0.8</v>
      </c>
      <c r="E117" s="23" t="inlineStr">
        <is>
          <t>Cat p.27</t>
        </is>
      </c>
      <c r="F117" s="24" t="n">
        <v>76.34999999999999</v>
      </c>
      <c r="G117" s="25" t="n"/>
      <c r="H117" s="25" t="n"/>
      <c r="I117" s="26">
        <f>IF(F117="","",F117/$C$5*(1+$C$8)+$D117*(1+$C$7)*$C$6)</f>
        <v/>
      </c>
      <c r="J117" s="26">
        <f>IF(G117="","",G117/$C$5*(1+$C$8)+$D117*(1+$C$7)*$C$6)</f>
        <v/>
      </c>
      <c r="K117" s="26">
        <f>IF(H117="","",H117/$C$5*(1+$C$8)+$D117*(1+$C$7)*$C$6)</f>
        <v/>
      </c>
      <c r="L117" s="27">
        <f>IF(I117="","",ROUND(I117*(1+$C$9),2))</f>
        <v/>
      </c>
      <c r="M117" s="27">
        <f>IF(J117="","",ROUND(J117*(1+$C$9),2))</f>
        <v/>
      </c>
      <c r="N117" s="27">
        <f>IF(K117="","",ROUND(K117*(1+$C$9),2))</f>
        <v/>
      </c>
      <c r="O117" s="28">
        <f>TRIM(IF($B117="NOT ASSIGNED","No NW part no. ","")&amp;IFERROR(IF(INDEX(Conversion!$J$2:$J$500,MATCH($A117,Conversion!$B$2:$B$500,0))="Needs review","Conversion table: needs review. ",""),"")&amp;IF(LEFT($E117,8)="ESTIMATE","Weight estimated. ","")&amp;"AKBO note at 3rd break: '20pcs 66,81'")</f>
        <v/>
      </c>
    </row>
    <row r="119">
      <c r="A119" s="16" t="inlineStr">
        <is>
          <t>Water Saver</t>
        </is>
      </c>
      <c r="B119" s="17" t="n"/>
      <c r="C119" s="17" t="n"/>
      <c r="D119" s="17" t="n"/>
      <c r="E119" s="17" t="n"/>
      <c r="F119" s="18" t="inlineStr">
        <is>
          <t>&lt; 10 pcs</t>
        </is>
      </c>
      <c r="G119" s="18" t="inlineStr">
        <is>
          <t>≥ 10 pcs</t>
        </is>
      </c>
      <c r="H119" s="18" t="inlineStr">
        <is>
          <t>≥ 50 pcs</t>
        </is>
      </c>
      <c r="I119" s="18" t="inlineStr">
        <is>
          <t>&lt; 10 pcs</t>
        </is>
      </c>
      <c r="J119" s="18" t="inlineStr">
        <is>
          <t>≥ 10 pcs</t>
        </is>
      </c>
      <c r="K119" s="18" t="inlineStr">
        <is>
          <t>≥ 50 pcs</t>
        </is>
      </c>
      <c r="L119" s="18" t="inlineStr">
        <is>
          <t>&lt; 10 pcs</t>
        </is>
      </c>
      <c r="M119" s="18" t="inlineStr">
        <is>
          <t>≥ 10 pcs</t>
        </is>
      </c>
      <c r="N119" s="18" t="inlineStr">
        <is>
          <t>≥ 50 pcs</t>
        </is>
      </c>
      <c r="O119" s="17" t="n"/>
    </row>
    <row r="120">
      <c r="A120" s="19" t="inlineStr">
        <is>
          <t>AKWMS01</t>
        </is>
      </c>
      <c r="B120" s="20">
        <f>IFERROR(INDEX(Conversion!$C$2:$C$500,MATCH($A120,Conversion!$B$2:$B$500,0)),"NOT ASSIGNED")</f>
        <v/>
      </c>
      <c r="C120" s="21" t="inlineStr">
        <is>
          <t>Water saver brass; model S; 3/4" female</t>
        </is>
      </c>
      <c r="D120" s="29" t="n">
        <v>0.3</v>
      </c>
      <c r="E120" s="23" t="inlineStr">
        <is>
          <t>ESTIMATE - weight not in catalogue (p.45)</t>
        </is>
      </c>
      <c r="F120" s="24" t="n">
        <v>34.803</v>
      </c>
      <c r="G120" s="24" t="n">
        <v>30.94</v>
      </c>
      <c r="H120" s="25" t="n"/>
      <c r="I120" s="26">
        <f>IF(F120="","",F120/$C$5*(1+$C$8)+$D120*(1+$C$7)*$C$6)</f>
        <v/>
      </c>
      <c r="J120" s="26">
        <f>IF(G120="","",G120/$C$5*(1+$C$8)+$D120*(1+$C$7)*$C$6)</f>
        <v/>
      </c>
      <c r="K120" s="26">
        <f>IF(H120="","",H120/$C$5*(1+$C$8)+$D120*(1+$C$7)*$C$6)</f>
        <v/>
      </c>
      <c r="L120" s="27">
        <f>IF(I120="","",ROUND(I120*(1+$C$9),2))</f>
        <v/>
      </c>
      <c r="M120" s="27">
        <f>IF(J120="","",ROUND(J120*(1+$C$9),2))</f>
        <v/>
      </c>
      <c r="N120" s="27">
        <f>IF(K120="","",ROUND(K120*(1+$C$9),2))</f>
        <v/>
      </c>
      <c r="O120" s="28">
        <f>TRIM(IF($B120="NOT ASSIGNED","No NW part no. ","")&amp;IFERROR(IF(INDEX(Conversion!$J$2:$J$500,MATCH($A120,Conversion!$B$2:$B$500,0))="Needs review","Conversion table: needs review. ",""),"")&amp;IF(LEFT($E120,8)="ESTIMATE","Weight estimated. ","")&amp;"")</f>
        <v/>
      </c>
    </row>
    <row r="121">
      <c r="A121" s="19" t="inlineStr">
        <is>
          <t>AKWMM01</t>
        </is>
      </c>
      <c r="B121" s="20">
        <f>IFERROR(INDEX(Conversion!$C$2:$C$500,MATCH($A121,Conversion!$B$2:$B$500,0)),"NOT ASSIGNED")</f>
        <v/>
      </c>
      <c r="C121" s="21" t="inlineStr">
        <is>
          <t>Water saver brass; model M; 3/4" female</t>
        </is>
      </c>
      <c r="D121" s="29" t="n">
        <v>0.3</v>
      </c>
      <c r="E121" s="23" t="inlineStr">
        <is>
          <t>ESTIMATE - weight not in catalogue (p.45)</t>
        </is>
      </c>
      <c r="F121" s="24" t="n">
        <v>34.803</v>
      </c>
      <c r="G121" s="24" t="n">
        <v>30.94</v>
      </c>
      <c r="H121" s="25" t="n"/>
      <c r="I121" s="26">
        <f>IF(F121="","",F121/$C$5*(1+$C$8)+$D121*(1+$C$7)*$C$6)</f>
        <v/>
      </c>
      <c r="J121" s="26">
        <f>IF(G121="","",G121/$C$5*(1+$C$8)+$D121*(1+$C$7)*$C$6)</f>
        <v/>
      </c>
      <c r="K121" s="26">
        <f>IF(H121="","",H121/$C$5*(1+$C$8)+$D121*(1+$C$7)*$C$6)</f>
        <v/>
      </c>
      <c r="L121" s="27">
        <f>IF(I121="","",ROUND(I121*(1+$C$9),2))</f>
        <v/>
      </c>
      <c r="M121" s="27">
        <f>IF(J121="","",ROUND(J121*(1+$C$9),2))</f>
        <v/>
      </c>
      <c r="N121" s="27">
        <f>IF(K121="","",ROUND(K121*(1+$C$9),2))</f>
        <v/>
      </c>
      <c r="O121" s="28">
        <f>TRIM(IF($B121="NOT ASSIGNED","No NW part no. ","")&amp;IFERROR(IF(INDEX(Conversion!$J$2:$J$500,MATCH($A121,Conversion!$B$2:$B$500,0))="Needs review","Conversion table: needs review. ",""),"")&amp;IF(LEFT($E121,8)="ESTIMATE","Weight estimated. ","")&amp;"")</f>
        <v/>
      </c>
    </row>
    <row r="122">
      <c r="A122" s="19" t="inlineStr">
        <is>
          <t>AKWML01</t>
        </is>
      </c>
      <c r="B122" s="20">
        <f>IFERROR(INDEX(Conversion!$C$2:$C$500,MATCH($A122,Conversion!$B$2:$B$500,0)),"NOT ASSIGNED")</f>
        <v/>
      </c>
      <c r="C122" s="21" t="inlineStr">
        <is>
          <t>Water saver brass; model L; 3/4" female</t>
        </is>
      </c>
      <c r="D122" s="29" t="n">
        <v>0.3</v>
      </c>
      <c r="E122" s="23" t="inlineStr">
        <is>
          <t>ESTIMATE - weight not in catalogue (p.45)</t>
        </is>
      </c>
      <c r="F122" s="24" t="n">
        <v>34.803</v>
      </c>
      <c r="G122" s="24" t="n">
        <v>30.94</v>
      </c>
      <c r="H122" s="25" t="n"/>
      <c r="I122" s="26">
        <f>IF(F122="","",F122/$C$5*(1+$C$8)+$D122*(1+$C$7)*$C$6)</f>
        <v/>
      </c>
      <c r="J122" s="26">
        <f>IF(G122="","",G122/$C$5*(1+$C$8)+$D122*(1+$C$7)*$C$6)</f>
        <v/>
      </c>
      <c r="K122" s="26">
        <f>IF(H122="","",H122/$C$5*(1+$C$8)+$D122*(1+$C$7)*$C$6)</f>
        <v/>
      </c>
      <c r="L122" s="27">
        <f>IF(I122="","",ROUND(I122*(1+$C$9),2))</f>
        <v/>
      </c>
      <c r="M122" s="27">
        <f>IF(J122="","",ROUND(J122*(1+$C$9),2))</f>
        <v/>
      </c>
      <c r="N122" s="27">
        <f>IF(K122="","",ROUND(K122*(1+$C$9),2))</f>
        <v/>
      </c>
      <c r="O122" s="28">
        <f>TRIM(IF($B122="NOT ASSIGNED","No NW part no. ","")&amp;IFERROR(IF(INDEX(Conversion!$J$2:$J$500,MATCH($A122,Conversion!$B$2:$B$500,0))="Needs review","Conversion table: needs review. ",""),"")&amp;IF(LEFT($E122,8)="ESTIMATE","Weight estimated. ","")&amp;"")</f>
        <v/>
      </c>
    </row>
    <row r="123">
      <c r="A123" s="19" t="inlineStr">
        <is>
          <t>AKWMR01</t>
        </is>
      </c>
      <c r="B123" s="20">
        <f>IFERROR(INDEX(Conversion!$C$2:$C$500,MATCH($A123,Conversion!$B$2:$B$500,0)),"NOT ASSIGNED")</f>
        <v/>
      </c>
      <c r="C123" s="21" t="inlineStr">
        <is>
          <t>Water saver brass; model R; 3/4" female</t>
        </is>
      </c>
      <c r="D123" s="29" t="n">
        <v>0.3</v>
      </c>
      <c r="E123" s="23" t="inlineStr">
        <is>
          <t>ESTIMATE - weight not in catalogue (p.45)</t>
        </is>
      </c>
      <c r="F123" s="24" t="n">
        <v>34.803</v>
      </c>
      <c r="G123" s="24" t="n">
        <v>30.94</v>
      </c>
      <c r="H123" s="25" t="n"/>
      <c r="I123" s="26">
        <f>IF(F123="","",F123/$C$5*(1+$C$8)+$D123*(1+$C$7)*$C$6)</f>
        <v/>
      </c>
      <c r="J123" s="26">
        <f>IF(G123="","",G123/$C$5*(1+$C$8)+$D123*(1+$C$7)*$C$6)</f>
        <v/>
      </c>
      <c r="K123" s="26">
        <f>IF(H123="","",H123/$C$5*(1+$C$8)+$D123*(1+$C$7)*$C$6)</f>
        <v/>
      </c>
      <c r="L123" s="27">
        <f>IF(I123="","",ROUND(I123*(1+$C$9),2))</f>
        <v/>
      </c>
      <c r="M123" s="27">
        <f>IF(J123="","",ROUND(J123*(1+$C$9),2))</f>
        <v/>
      </c>
      <c r="N123" s="27">
        <f>IF(K123="","",ROUND(K123*(1+$C$9),2))</f>
        <v/>
      </c>
      <c r="O123" s="28">
        <f>TRIM(IF($B123="NOT ASSIGNED","No NW part no. ","")&amp;IFERROR(IF(INDEX(Conversion!$J$2:$J$500,MATCH($A123,Conversion!$B$2:$B$500,0))="Needs review","Conversion table: needs review. ",""),"")&amp;IF(LEFT($E123,8)="ESTIMATE","Weight estimated. ","")&amp;"")</f>
        <v/>
      </c>
    </row>
    <row r="125">
      <c r="A125" s="19" t="inlineStr">
        <is>
          <t>AKWRS01</t>
        </is>
      </c>
      <c r="B125" s="20">
        <f>IFERROR(INDEX(Conversion!$C$2:$C$500,MATCH($A125,Conversion!$B$2:$B$500,0)),"NOT ASSIGNED")</f>
        <v/>
      </c>
      <c r="C125" s="21" t="inlineStr">
        <is>
          <t>Water saver stainless steel; model S; 3/4" female</t>
        </is>
      </c>
      <c r="D125" s="29" t="n">
        <v>0.3</v>
      </c>
      <c r="E125" s="23" t="inlineStr">
        <is>
          <t>ESTIMATE - weight not in catalogue (p.45)</t>
        </is>
      </c>
      <c r="F125" s="24" t="n">
        <v>88.84128</v>
      </c>
      <c r="G125" s="24" t="n">
        <v>83.28870000000001</v>
      </c>
      <c r="H125" s="25" t="n"/>
      <c r="I125" s="26">
        <f>IF(F125="","",F125/$C$5*(1+$C$8)+$D125*(1+$C$7)*$C$6)</f>
        <v/>
      </c>
      <c r="J125" s="26">
        <f>IF(G125="","",G125/$C$5*(1+$C$8)+$D125*(1+$C$7)*$C$6)</f>
        <v/>
      </c>
      <c r="K125" s="26">
        <f>IF(H125="","",H125/$C$5*(1+$C$8)+$D125*(1+$C$7)*$C$6)</f>
        <v/>
      </c>
      <c r="L125" s="27">
        <f>IF(I125="","",ROUND(I125*(1+$C$9),2))</f>
        <v/>
      </c>
      <c r="M125" s="27">
        <f>IF(J125="","",ROUND(J125*(1+$C$9),2))</f>
        <v/>
      </c>
      <c r="N125" s="27">
        <f>IF(K125="","",ROUND(K125*(1+$C$9),2))</f>
        <v/>
      </c>
      <c r="O125" s="28">
        <f>TRIM(IF($B125="NOT ASSIGNED","No NW part no. ","")&amp;IFERROR(IF(INDEX(Conversion!$J$2:$J$500,MATCH($A125,Conversion!$B$2:$B$500,0))="Needs review","Conversion table: needs review. ",""),"")&amp;IF(LEFT($E125,8)="ESTIMATE","Weight estimated. ","")&amp;"")</f>
        <v/>
      </c>
    </row>
    <row r="126">
      <c r="A126" s="19" t="inlineStr">
        <is>
          <t>AKWRM01</t>
        </is>
      </c>
      <c r="B126" s="20">
        <f>IFERROR(INDEX(Conversion!$C$2:$C$500,MATCH($A126,Conversion!$B$2:$B$500,0)),"NOT ASSIGNED")</f>
        <v/>
      </c>
      <c r="C126" s="21" t="inlineStr">
        <is>
          <t>Water saver stainless steel; model M; 3/4" female</t>
        </is>
      </c>
      <c r="D126" s="29" t="n">
        <v>0.3</v>
      </c>
      <c r="E126" s="23" t="inlineStr">
        <is>
          <t>ESTIMATE - weight not in catalogue (p.45)</t>
        </is>
      </c>
      <c r="F126" s="24" t="n">
        <v>88.84128</v>
      </c>
      <c r="G126" s="24" t="n">
        <v>83.28870000000001</v>
      </c>
      <c r="H126" s="25" t="n"/>
      <c r="I126" s="26">
        <f>IF(F126="","",F126/$C$5*(1+$C$8)+$D126*(1+$C$7)*$C$6)</f>
        <v/>
      </c>
      <c r="J126" s="26">
        <f>IF(G126="","",G126/$C$5*(1+$C$8)+$D126*(1+$C$7)*$C$6)</f>
        <v/>
      </c>
      <c r="K126" s="26">
        <f>IF(H126="","",H126/$C$5*(1+$C$8)+$D126*(1+$C$7)*$C$6)</f>
        <v/>
      </c>
      <c r="L126" s="27">
        <f>IF(I126="","",ROUND(I126*(1+$C$9),2))</f>
        <v/>
      </c>
      <c r="M126" s="27">
        <f>IF(J126="","",ROUND(J126*(1+$C$9),2))</f>
        <v/>
      </c>
      <c r="N126" s="27">
        <f>IF(K126="","",ROUND(K126*(1+$C$9),2))</f>
        <v/>
      </c>
      <c r="O126" s="28">
        <f>TRIM(IF($B126="NOT ASSIGNED","No NW part no. ","")&amp;IFERROR(IF(INDEX(Conversion!$J$2:$J$500,MATCH($A126,Conversion!$B$2:$B$500,0))="Needs review","Conversion table: needs review. ",""),"")&amp;IF(LEFT($E126,8)="ESTIMATE","Weight estimated. ","")&amp;"")</f>
        <v/>
      </c>
    </row>
    <row r="127">
      <c r="A127" s="19" t="inlineStr">
        <is>
          <t>AKWRL01</t>
        </is>
      </c>
      <c r="B127" s="20">
        <f>IFERROR(INDEX(Conversion!$C$2:$C$500,MATCH($A127,Conversion!$B$2:$B$500,0)),"NOT ASSIGNED")</f>
        <v/>
      </c>
      <c r="C127" s="21" t="inlineStr">
        <is>
          <t>Water saver stainless steel; model L; 3/4" female</t>
        </is>
      </c>
      <c r="D127" s="29" t="n">
        <v>0.3</v>
      </c>
      <c r="E127" s="23" t="inlineStr">
        <is>
          <t>ESTIMATE - weight not in catalogue (p.45)</t>
        </is>
      </c>
      <c r="F127" s="24" t="n">
        <v>88.84128</v>
      </c>
      <c r="G127" s="24" t="n">
        <v>83.28870000000001</v>
      </c>
      <c r="H127" s="25" t="n"/>
      <c r="I127" s="26">
        <f>IF(F127="","",F127/$C$5*(1+$C$8)+$D127*(1+$C$7)*$C$6)</f>
        <v/>
      </c>
      <c r="J127" s="26">
        <f>IF(G127="","",G127/$C$5*(1+$C$8)+$D127*(1+$C$7)*$C$6)</f>
        <v/>
      </c>
      <c r="K127" s="26">
        <f>IF(H127="","",H127/$C$5*(1+$C$8)+$D127*(1+$C$7)*$C$6)</f>
        <v/>
      </c>
      <c r="L127" s="27">
        <f>IF(I127="","",ROUND(I127*(1+$C$9),2))</f>
        <v/>
      </c>
      <c r="M127" s="27">
        <f>IF(J127="","",ROUND(J127*(1+$C$9),2))</f>
        <v/>
      </c>
      <c r="N127" s="27">
        <f>IF(K127="","",ROUND(K127*(1+$C$9),2))</f>
        <v/>
      </c>
      <c r="O127" s="28">
        <f>TRIM(IF($B127="NOT ASSIGNED","No NW part no. ","")&amp;IFERROR(IF(INDEX(Conversion!$J$2:$J$500,MATCH($A127,Conversion!$B$2:$B$500,0))="Needs review","Conversion table: needs review. ",""),"")&amp;IF(LEFT($E127,8)="ESTIMATE","Weight estimated. ","")&amp;"")</f>
        <v/>
      </c>
    </row>
    <row r="128">
      <c r="A128" s="19" t="inlineStr">
        <is>
          <t>AKWRR01</t>
        </is>
      </c>
      <c r="B128" s="20">
        <f>IFERROR(INDEX(Conversion!$C$2:$C$500,MATCH($A128,Conversion!$B$2:$B$500,0)),"NOT ASSIGNED")</f>
        <v/>
      </c>
      <c r="C128" s="21" t="inlineStr">
        <is>
          <t>Water saver stainless steel; model R; 3/4" female</t>
        </is>
      </c>
      <c r="D128" s="29" t="n">
        <v>0.3</v>
      </c>
      <c r="E128" s="23" t="inlineStr">
        <is>
          <t>ESTIMATE - weight not in catalogue (p.45)</t>
        </is>
      </c>
      <c r="F128" s="24" t="n">
        <v>88.84128</v>
      </c>
      <c r="G128" s="24" t="n">
        <v>83.28870000000001</v>
      </c>
      <c r="H128" s="25" t="n"/>
      <c r="I128" s="26">
        <f>IF(F128="","",F128/$C$5*(1+$C$8)+$D128*(1+$C$7)*$C$6)</f>
        <v/>
      </c>
      <c r="J128" s="26">
        <f>IF(G128="","",G128/$C$5*(1+$C$8)+$D128*(1+$C$7)*$C$6)</f>
        <v/>
      </c>
      <c r="K128" s="26">
        <f>IF(H128="","",H128/$C$5*(1+$C$8)+$D128*(1+$C$7)*$C$6)</f>
        <v/>
      </c>
      <c r="L128" s="27">
        <f>IF(I128="","",ROUND(I128*(1+$C$9),2))</f>
        <v/>
      </c>
      <c r="M128" s="27">
        <f>IF(J128="","",ROUND(J128*(1+$C$9),2))</f>
        <v/>
      </c>
      <c r="N128" s="27">
        <f>IF(K128="","",ROUND(K128*(1+$C$9),2))</f>
        <v/>
      </c>
      <c r="O128" s="28">
        <f>TRIM(IF($B128="NOT ASSIGNED","No NW part no. ","")&amp;IFERROR(IF(INDEX(Conversion!$J$2:$J$500,MATCH($A128,Conversion!$B$2:$B$500,0))="Needs review","Conversion table: needs review. ",""),"")&amp;IF(LEFT($E128,8)="ESTIMATE","Weight estimated. ","")&amp;"")</f>
        <v/>
      </c>
    </row>
    <row r="130">
      <c r="A130" s="19" t="inlineStr">
        <is>
          <t>BWNM045</t>
        </is>
      </c>
      <c r="B130" s="20">
        <f>IFERROR(INDEX(Conversion!$C$2:$C$500,MATCH($A130,Conversion!$B$2:$B$500,0)),"NOT ASSIGNED")</f>
        <v/>
      </c>
      <c r="C130" s="21" t="inlineStr">
        <is>
          <t>Economic Sprayer "Blue Nozzle" brass with EPDM, 4.5mm outlet</t>
        </is>
      </c>
      <c r="D130" s="29" t="n">
        <v>0.25</v>
      </c>
      <c r="E130" s="23" t="inlineStr">
        <is>
          <t>ESTIMATE - weight not in catalogue (p.46)</t>
        </is>
      </c>
      <c r="F130" s="24" t="n">
        <v>23.293952</v>
      </c>
      <c r="G130" s="24" t="n">
        <v>21.83808</v>
      </c>
      <c r="H130" s="24" t="n">
        <v>19.799859</v>
      </c>
      <c r="I130" s="26">
        <f>IF(F130="","",F130/$C$5*(1+$C$8)+$D130*(1+$C$7)*$C$6)</f>
        <v/>
      </c>
      <c r="J130" s="26">
        <f>IF(G130="","",G130/$C$5*(1+$C$8)+$D130*(1+$C$7)*$C$6)</f>
        <v/>
      </c>
      <c r="K130" s="26">
        <f>IF(H130="","",H130/$C$5*(1+$C$8)+$D130*(1+$C$7)*$C$6)</f>
        <v/>
      </c>
      <c r="L130" s="27">
        <f>IF(I130="","",ROUND(I130*(1+$C$9),2))</f>
        <v/>
      </c>
      <c r="M130" s="27">
        <f>IF(J130="","",ROUND(J130*(1+$C$9),2))</f>
        <v/>
      </c>
      <c r="N130" s="27">
        <f>IF(K130="","",ROUND(K130*(1+$C$9),2))</f>
        <v/>
      </c>
      <c r="O130" s="28">
        <f>TRIM(IF($B130="NOT ASSIGNED","No NW part no. ","")&amp;IFERROR(IF(INDEX(Conversion!$J$2:$J$500,MATCH($A130,Conversion!$B$2:$B$500,0))="Needs review","Conversion table: needs review. ",""),"")&amp;IF(LEFT($E130,8)="ESTIMATE","Weight estimated. ","")&amp;"")</f>
        <v/>
      </c>
    </row>
    <row r="132">
      <c r="A132" s="16" t="inlineStr">
        <is>
          <t>Qty break</t>
        </is>
      </c>
      <c r="B132" s="17" t="n"/>
      <c r="C132" s="17" t="n"/>
      <c r="D132" s="17" t="n"/>
      <c r="E132" s="17" t="n"/>
      <c r="F132" s="18" t="inlineStr">
        <is>
          <t>&lt; 10 pcs</t>
        </is>
      </c>
      <c r="G132" s="18" t="inlineStr">
        <is>
          <t>≥ 10 pcs</t>
        </is>
      </c>
      <c r="H132" s="18" t="inlineStr">
        <is>
          <t>≥ 50 pcs</t>
        </is>
      </c>
      <c r="I132" s="18" t="inlineStr">
        <is>
          <t>&lt; 10 pcs</t>
        </is>
      </c>
      <c r="J132" s="18" t="inlineStr">
        <is>
          <t>≥ 10 pcs</t>
        </is>
      </c>
      <c r="K132" s="18" t="inlineStr">
        <is>
          <t>≥ 50 pcs</t>
        </is>
      </c>
      <c r="L132" s="18" t="inlineStr">
        <is>
          <t>&lt; 10 pcs</t>
        </is>
      </c>
      <c r="M132" s="18" t="inlineStr">
        <is>
          <t>≥ 10 pcs</t>
        </is>
      </c>
      <c r="N132" s="18" t="inlineStr">
        <is>
          <t>≥ 50 pcs</t>
        </is>
      </c>
      <c r="O132" s="17" t="n"/>
    </row>
    <row r="133">
      <c r="A133" s="30" t="inlineStr">
        <is>
          <t>Shower Head</t>
        </is>
      </c>
      <c r="B133" s="31" t="n"/>
      <c r="C133" s="31" t="n"/>
      <c r="D133" s="31" t="n"/>
      <c r="E133" s="31" t="n"/>
      <c r="F133" s="31" t="n"/>
      <c r="G133" s="31" t="n"/>
      <c r="H133" s="31" t="n"/>
      <c r="I133" s="31" t="n"/>
      <c r="J133" s="31" t="n"/>
      <c r="K133" s="31" t="n"/>
      <c r="L133" s="31" t="n"/>
      <c r="M133" s="31" t="n"/>
      <c r="N133" s="31" t="n"/>
      <c r="O133" s="31" t="n"/>
    </row>
    <row r="135">
      <c r="A135" s="19" t="inlineStr">
        <is>
          <t>AKKS003-B</t>
        </is>
      </c>
      <c r="B135" s="20">
        <f>IFERROR(INDEX(Conversion!$C$2:$C$500,MATCH($A135,Conversion!$B$2:$B$500,0)),"NOT ASSIGNED")</f>
        <v/>
      </c>
      <c r="C135" s="21" t="inlineStr">
        <is>
          <t>Plastic shower head, blue</t>
        </is>
      </c>
      <c r="D135" s="22" t="n">
        <v>0.26</v>
      </c>
      <c r="E135" s="23" t="inlineStr">
        <is>
          <t>Cat p.26</t>
        </is>
      </c>
      <c r="F135" s="24" t="n">
        <v>42.096208</v>
      </c>
      <c r="G135" s="24" t="n">
        <v>36.834182</v>
      </c>
      <c r="H135" s="24" t="n">
        <v>34.203169</v>
      </c>
      <c r="I135" s="26">
        <f>IF(F135="","",F135/$C$5*(1+$C$8)+$D135*(1+$C$7)*$C$6)</f>
        <v/>
      </c>
      <c r="J135" s="26">
        <f>IF(G135="","",G135/$C$5*(1+$C$8)+$D135*(1+$C$7)*$C$6)</f>
        <v/>
      </c>
      <c r="K135" s="26">
        <f>IF(H135="","",H135/$C$5*(1+$C$8)+$D135*(1+$C$7)*$C$6)</f>
        <v/>
      </c>
      <c r="L135" s="27">
        <f>IF(I135="","",ROUND(I135*(1+$C$9),2))</f>
        <v/>
      </c>
      <c r="M135" s="27">
        <f>IF(J135="","",ROUND(J135*(1+$C$9),2))</f>
        <v/>
      </c>
      <c r="N135" s="27">
        <f>IF(K135="","",ROUND(K135*(1+$C$9),2))</f>
        <v/>
      </c>
      <c r="O135" s="28">
        <f>TRIM(IF($B135="NOT ASSIGNED","No NW part no. ","")&amp;IFERROR(IF(INDEX(Conversion!$J$2:$J$500,MATCH($A135,Conversion!$B$2:$B$500,0))="Needs review","Conversion table: needs review. ",""),"")&amp;IF(LEFT($E135,8)="ESTIMATE","Weight estimated. ","")&amp;"")</f>
        <v/>
      </c>
    </row>
    <row r="136">
      <c r="A136" s="19" t="inlineStr">
        <is>
          <t>AKKS003-B-19</t>
        </is>
      </c>
      <c r="B136" s="20">
        <f>IFERROR(INDEX(Conversion!$C$2:$C$500,MATCH($A136,Conversion!$B$2:$B$500,0)),"NOT ASSIGNED")</f>
        <v/>
      </c>
      <c r="C136" s="21" t="inlineStr">
        <is>
          <t>Plastic shower head blue with 19mm hose tail MESC019 (separate)</t>
        </is>
      </c>
      <c r="D136" s="29" t="n">
        <v>0.3</v>
      </c>
      <c r="E136" s="23" t="inlineStr">
        <is>
          <t>ESTIMATE - 260 g shower (p.26) + MESC019 hose tail est.</t>
        </is>
      </c>
      <c r="F136" s="24" t="n">
        <v>46.099856</v>
      </c>
      <c r="G136" s="24" t="n">
        <v>40.337374</v>
      </c>
      <c r="H136" s="24" t="n">
        <v>37.456133</v>
      </c>
      <c r="I136" s="26">
        <f>IF(F136="","",F136/$C$5*(1+$C$8)+$D136*(1+$C$7)*$C$6)</f>
        <v/>
      </c>
      <c r="J136" s="26">
        <f>IF(G136="","",G136/$C$5*(1+$C$8)+$D136*(1+$C$7)*$C$6)</f>
        <v/>
      </c>
      <c r="K136" s="26">
        <f>IF(H136="","",H136/$C$5*(1+$C$8)+$D136*(1+$C$7)*$C$6)</f>
        <v/>
      </c>
      <c r="L136" s="27">
        <f>IF(I136="","",ROUND(I136*(1+$C$9),2))</f>
        <v/>
      </c>
      <c r="M136" s="27">
        <f>IF(J136="","",ROUND(J136*(1+$C$9),2))</f>
        <v/>
      </c>
      <c r="N136" s="27">
        <f>IF(K136="","",ROUND(K136*(1+$C$9),2))</f>
        <v/>
      </c>
      <c r="O136" s="28">
        <f>TRIM(IF($B136="NOT ASSIGNED","No NW part no. ","")&amp;IFERROR(IF(INDEX(Conversion!$J$2:$J$500,MATCH($A136,Conversion!$B$2:$B$500,0))="Needs review","Conversion table: needs review. ",""),"")&amp;IF(LEFT($E136,8)="ESTIMATE","Weight estimated. ","")&amp;"")</f>
        <v/>
      </c>
    </row>
    <row r="137">
      <c r="A137" s="19" t="inlineStr">
        <is>
          <t>AKKS003-W</t>
        </is>
      </c>
      <c r="B137" s="20">
        <f>IFERROR(INDEX(Conversion!$C$2:$C$500,MATCH($A137,Conversion!$B$2:$B$500,0)),"NOT ASSIGNED")</f>
        <v/>
      </c>
      <c r="C137" s="21" t="inlineStr">
        <is>
          <t>Plastic shower head, white</t>
        </is>
      </c>
      <c r="D137" s="22" t="n">
        <v>0.26</v>
      </c>
      <c r="E137" s="23" t="inlineStr">
        <is>
          <t>Cat p.26</t>
        </is>
      </c>
      <c r="F137" s="24" t="n">
        <v>42.096208</v>
      </c>
      <c r="G137" s="24" t="n">
        <v>36.834182</v>
      </c>
      <c r="H137" s="24" t="n">
        <v>34.203169</v>
      </c>
      <c r="I137" s="26">
        <f>IF(F137="","",F137/$C$5*(1+$C$8)+$D137*(1+$C$7)*$C$6)</f>
        <v/>
      </c>
      <c r="J137" s="26">
        <f>IF(G137="","",G137/$C$5*(1+$C$8)+$D137*(1+$C$7)*$C$6)</f>
        <v/>
      </c>
      <c r="K137" s="26">
        <f>IF(H137="","",H137/$C$5*(1+$C$8)+$D137*(1+$C$7)*$C$6)</f>
        <v/>
      </c>
      <c r="L137" s="27">
        <f>IF(I137="","",ROUND(I137*(1+$C$9),2))</f>
        <v/>
      </c>
      <c r="M137" s="27">
        <f>IF(J137="","",ROUND(J137*(1+$C$9),2))</f>
        <v/>
      </c>
      <c r="N137" s="27">
        <f>IF(K137="","",ROUND(K137*(1+$C$9),2))</f>
        <v/>
      </c>
      <c r="O137" s="28">
        <f>TRIM(IF($B137="NOT ASSIGNED","No NW part no. ","")&amp;IFERROR(IF(INDEX(Conversion!$J$2:$J$500,MATCH($A137,Conversion!$B$2:$B$500,0))="Needs review","Conversion table: needs review. ",""),"")&amp;IF(LEFT($E137,8)="ESTIMATE","Weight estimated. ","")&amp;"")</f>
        <v/>
      </c>
    </row>
    <row r="138">
      <c r="A138" s="19" t="inlineStr">
        <is>
          <t>AKKS003-W-19</t>
        </is>
      </c>
      <c r="B138" s="20">
        <f>IFERROR(INDEX(Conversion!$C$2:$C$500,MATCH($A138,Conversion!$B$2:$B$500,0)),"NOT ASSIGNED")</f>
        <v/>
      </c>
      <c r="C138" s="21" t="inlineStr">
        <is>
          <t>Plastic shower head white with 19mm hose tail MESC019 (separate)</t>
        </is>
      </c>
      <c r="D138" s="29" t="n">
        <v>0.3</v>
      </c>
      <c r="E138" s="23" t="inlineStr">
        <is>
          <t>ESTIMATE - 260 g shower (p.26) + MESC019 hose tail est.</t>
        </is>
      </c>
      <c r="F138" s="24" t="n">
        <v>46.099856</v>
      </c>
      <c r="G138" s="24" t="n">
        <v>40.337374</v>
      </c>
      <c r="H138" s="24" t="n">
        <v>37.456133</v>
      </c>
      <c r="I138" s="26">
        <f>IF(F138="","",F138/$C$5*(1+$C$8)+$D138*(1+$C$7)*$C$6)</f>
        <v/>
      </c>
      <c r="J138" s="26">
        <f>IF(G138="","",G138/$C$5*(1+$C$8)+$D138*(1+$C$7)*$C$6)</f>
        <v/>
      </c>
      <c r="K138" s="26">
        <f>IF(H138="","",H138/$C$5*(1+$C$8)+$D138*(1+$C$7)*$C$6)</f>
        <v/>
      </c>
      <c r="L138" s="27">
        <f>IF(I138="","",ROUND(I138*(1+$C$9),2))</f>
        <v/>
      </c>
      <c r="M138" s="27">
        <f>IF(J138="","",ROUND(J138*(1+$C$9),2))</f>
        <v/>
      </c>
      <c r="N138" s="27">
        <f>IF(K138="","",ROUND(K138*(1+$C$9),2))</f>
        <v/>
      </c>
      <c r="O138" s="28">
        <f>TRIM(IF($B138="NOT ASSIGNED","No NW part no. ","")&amp;IFERROR(IF(INDEX(Conversion!$J$2:$J$500,MATCH($A138,Conversion!$B$2:$B$500,0))="Needs review","Conversion table: needs review. ",""),"")&amp;IF(LEFT($E138,8)="ESTIMATE","Weight estimated. ","")&amp;"")</f>
        <v/>
      </c>
    </row>
    <row r="140">
      <c r="A140" s="14" t="inlineStr">
        <is>
          <t>Protected ball valves</t>
        </is>
      </c>
      <c r="B140" s="15" t="n"/>
      <c r="C140" s="15" t="n"/>
      <c r="D140" s="15" t="n"/>
      <c r="E140" s="15" t="n"/>
      <c r="F140" s="15" t="n"/>
      <c r="G140" s="15" t="n"/>
      <c r="H140" s="15" t="n"/>
      <c r="I140" s="15" t="n"/>
      <c r="J140" s="15" t="n"/>
      <c r="K140" s="15" t="n"/>
      <c r="L140" s="15" t="n"/>
      <c r="M140" s="15" t="n"/>
      <c r="N140" s="15" t="n"/>
      <c r="O140" s="15" t="n"/>
    </row>
    <row r="142">
      <c r="A142" s="16" t="inlineStr">
        <is>
          <t>Qty break</t>
        </is>
      </c>
      <c r="B142" s="17" t="n"/>
      <c r="C142" s="17" t="n"/>
      <c r="D142" s="17" t="n"/>
      <c r="E142" s="17" t="n"/>
      <c r="F142" s="18" t="inlineStr">
        <is>
          <t>&lt; 10 pcs</t>
        </is>
      </c>
      <c r="G142" s="18" t="inlineStr">
        <is>
          <t>≥ 10 pcs</t>
        </is>
      </c>
      <c r="H142" s="18" t="inlineStr">
        <is>
          <t>≥ 50 pcs</t>
        </is>
      </c>
      <c r="I142" s="18" t="inlineStr">
        <is>
          <t>&lt; 10 pcs</t>
        </is>
      </c>
      <c r="J142" s="18" t="inlineStr">
        <is>
          <t>≥ 10 pcs</t>
        </is>
      </c>
      <c r="K142" s="18" t="inlineStr">
        <is>
          <t>≥ 50 pcs</t>
        </is>
      </c>
      <c r="L142" s="18" t="inlineStr">
        <is>
          <t>&lt; 10 pcs</t>
        </is>
      </c>
      <c r="M142" s="18" t="inlineStr">
        <is>
          <t>≥ 10 pcs</t>
        </is>
      </c>
      <c r="N142" s="18" t="inlineStr">
        <is>
          <t>≥ 50 pcs</t>
        </is>
      </c>
      <c r="O142" s="17" t="n"/>
    </row>
    <row r="143">
      <c r="A143" s="19" t="inlineStr">
        <is>
          <t>BALR001-B</t>
        </is>
      </c>
      <c r="B143" s="20">
        <f>IFERROR(INDEX(Conversion!$C$2:$C$500,MATCH($A143,Conversion!$B$2:$B$500,0)),"NOT ASSIGNED")</f>
        <v/>
      </c>
      <c r="C143" s="21" t="inlineStr">
        <is>
          <t>St.st. protected ball valve, 1/2" female x 1/2" female, blue</t>
        </is>
      </c>
      <c r="D143" s="29" t="n">
        <v>0.4</v>
      </c>
      <c r="E143" s="23" t="inlineStr">
        <is>
          <t>ESTIMATE - weight not in catalogue (p.38)</t>
        </is>
      </c>
      <c r="F143" s="24" t="n">
        <v>43.892266</v>
      </c>
      <c r="G143" s="24" t="n">
        <v>41.310368</v>
      </c>
      <c r="H143" s="24" t="n">
        <v>36.146572</v>
      </c>
      <c r="I143" s="26">
        <f>IF(F143="","",F143/$C$5*(1+$C$8)+$D143*(1+$C$7)*$C$6)</f>
        <v/>
      </c>
      <c r="J143" s="26">
        <f>IF(G143="","",G143/$C$5*(1+$C$8)+$D143*(1+$C$7)*$C$6)</f>
        <v/>
      </c>
      <c r="K143" s="26">
        <f>IF(H143="","",H143/$C$5*(1+$C$8)+$D143*(1+$C$7)*$C$6)</f>
        <v/>
      </c>
      <c r="L143" s="27">
        <f>IF(I143="","",ROUND(I143*(1+$C$9),2))</f>
        <v/>
      </c>
      <c r="M143" s="27">
        <f>IF(J143="","",ROUND(J143*(1+$C$9),2))</f>
        <v/>
      </c>
      <c r="N143" s="27">
        <f>IF(K143="","",ROUND(K143*(1+$C$9),2))</f>
        <v/>
      </c>
      <c r="O143" s="28">
        <f>TRIM(IF($B143="NOT ASSIGNED","No NW part no. ","")&amp;IFERROR(IF(INDEX(Conversion!$J$2:$J$500,MATCH($A143,Conversion!$B$2:$B$500,0))="Needs review","Conversion table: needs review. ",""),"")&amp;IF(LEFT($E143,8)="ESTIMATE","Weight estimated. ","")&amp;"")</f>
        <v/>
      </c>
    </row>
    <row r="144">
      <c r="A144" s="19" t="inlineStr">
        <is>
          <t>BALRCP1-B</t>
        </is>
      </c>
      <c r="B144" s="20">
        <f>IFERROR(INDEX(Conversion!$C$2:$C$500,MATCH($A144,Conversion!$B$2:$B$500,0)),"NOT ASSIGNED")</f>
        <v/>
      </c>
      <c r="C144" s="21" t="inlineStr">
        <is>
          <t>St.st. protected ball valve, 1/2" female x st.st. coupler with protection, blue</t>
        </is>
      </c>
      <c r="D144" s="29" t="n">
        <v>0.55</v>
      </c>
      <c r="E144" s="23" t="inlineStr">
        <is>
          <t>ESTIMATE - weight not in catalogue (p.38)</t>
        </is>
      </c>
      <c r="F144" s="24" t="n">
        <v>63.025919</v>
      </c>
      <c r="G144" s="24" t="n">
        <v>59.318512</v>
      </c>
      <c r="H144" s="24" t="n">
        <v>51.903698</v>
      </c>
      <c r="I144" s="26">
        <f>IF(F144="","",F144/$C$5*(1+$C$8)+$D144*(1+$C$7)*$C$6)</f>
        <v/>
      </c>
      <c r="J144" s="26">
        <f>IF(G144="","",G144/$C$5*(1+$C$8)+$D144*(1+$C$7)*$C$6)</f>
        <v/>
      </c>
      <c r="K144" s="26">
        <f>IF(H144="","",H144/$C$5*(1+$C$8)+$D144*(1+$C$7)*$C$6)</f>
        <v/>
      </c>
      <c r="L144" s="27">
        <f>IF(I144="","",ROUND(I144*(1+$C$9),2))</f>
        <v/>
      </c>
      <c r="M144" s="27">
        <f>IF(J144="","",ROUND(J144*(1+$C$9),2))</f>
        <v/>
      </c>
      <c r="N144" s="27">
        <f>IF(K144="","",ROUND(K144*(1+$C$9),2))</f>
        <v/>
      </c>
      <c r="O144" s="28">
        <f>TRIM(IF($B144="NOT ASSIGNED","No NW part no. ","")&amp;IFERROR(IF(INDEX(Conversion!$J$2:$J$500,MATCH($A144,Conversion!$B$2:$B$500,0))="Needs review","Conversion table: needs review. ",""),"")&amp;IF(LEFT($E144,8)="ESTIMATE","Weight estimated. ","")&amp;"")</f>
        <v/>
      </c>
    </row>
    <row r="145">
      <c r="A145" s="19" t="inlineStr">
        <is>
          <t>BALRCP1-NB</t>
        </is>
      </c>
      <c r="B145" s="20">
        <f>IFERROR(INDEX(Conversion!$C$2:$C$500,MATCH($A145,Conversion!$B$2:$B$500,0)),"NOT ASSIGNED")</f>
        <v/>
      </c>
      <c r="C145" s="21" t="inlineStr">
        <is>
          <t>St.st. protected ball valve, 1/2" female x st.st. coupler with nylon protection, blue</t>
        </is>
      </c>
      <c r="D145" s="29" t="n">
        <v>0.55</v>
      </c>
      <c r="E145" s="23" t="inlineStr">
        <is>
          <t>ESTIMATE - weight not in catalogue (p.38)</t>
        </is>
      </c>
      <c r="F145" s="24" t="n">
        <v>66.53273</v>
      </c>
      <c r="G145" s="24" t="n">
        <v>62.61904</v>
      </c>
      <c r="H145" s="24" t="n">
        <v>54.79166</v>
      </c>
      <c r="I145" s="26">
        <f>IF(F145="","",F145/$C$5*(1+$C$8)+$D145*(1+$C$7)*$C$6)</f>
        <v/>
      </c>
      <c r="J145" s="26">
        <f>IF(G145="","",G145/$C$5*(1+$C$8)+$D145*(1+$C$7)*$C$6)</f>
        <v/>
      </c>
      <c r="K145" s="26">
        <f>IF(H145="","",H145/$C$5*(1+$C$8)+$D145*(1+$C$7)*$C$6)</f>
        <v/>
      </c>
      <c r="L145" s="27">
        <f>IF(I145="","",ROUND(I145*(1+$C$9),2))</f>
        <v/>
      </c>
      <c r="M145" s="27">
        <f>IF(J145="","",ROUND(J145*(1+$C$9),2))</f>
        <v/>
      </c>
      <c r="N145" s="27">
        <f>IF(K145="","",ROUND(K145*(1+$C$9),2))</f>
        <v/>
      </c>
      <c r="O145" s="28">
        <f>TRIM(IF($B145="NOT ASSIGNED","No NW part no. ","")&amp;IFERROR(IF(INDEX(Conversion!$J$2:$J$500,MATCH($A145,Conversion!$B$2:$B$500,0))="Needs review","Conversion table: needs review. ",""),"")&amp;IF(LEFT($E145,8)="ESTIMATE","Weight estimated. ","")&amp;"")</f>
        <v/>
      </c>
    </row>
    <row r="146">
      <c r="A146" s="19" t="inlineStr">
        <is>
          <t>BARRCP2-B</t>
        </is>
      </c>
      <c r="B146" s="20">
        <f>IFERROR(INDEX(Conversion!$C$2:$C$500,MATCH($A146,Conversion!$B$2:$B$500,0)),"NOT ASSIGNED")</f>
        <v/>
      </c>
      <c r="C146" s="21" t="inlineStr">
        <is>
          <t>Stainless steel (AISI 316) ball valve with mechanical protection, coupler with blue protection and adapter</t>
        </is>
      </c>
      <c r="D146" s="29" t="n">
        <v>0.6</v>
      </c>
      <c r="E146" s="23" t="inlineStr">
        <is>
          <t>ESTIMATE - weight not in catalogue (p.38)</t>
        </is>
      </c>
      <c r="F146" s="24" t="n">
        <v>52.874624</v>
      </c>
      <c r="G146" s="24" t="n">
        <v>49.764352</v>
      </c>
      <c r="H146" s="24" t="n">
        <v>43.543808</v>
      </c>
      <c r="I146" s="26">
        <f>IF(F146="","",F146/$C$5*(1+$C$8)+$D146*(1+$C$7)*$C$6)</f>
        <v/>
      </c>
      <c r="J146" s="26">
        <f>IF(G146="","",G146/$C$5*(1+$C$8)+$D146*(1+$C$7)*$C$6)</f>
        <v/>
      </c>
      <c r="K146" s="26">
        <f>IF(H146="","",H146/$C$5*(1+$C$8)+$D146*(1+$C$7)*$C$6)</f>
        <v/>
      </c>
      <c r="L146" s="27">
        <f>IF(I146="","",ROUND(I146*(1+$C$9),2))</f>
        <v/>
      </c>
      <c r="M146" s="27">
        <f>IF(J146="","",ROUND(J146*(1+$C$9),2))</f>
        <v/>
      </c>
      <c r="N146" s="27">
        <f>IF(K146="","",ROUND(K146*(1+$C$9),2))</f>
        <v/>
      </c>
      <c r="O146" s="28">
        <f>TRIM(IF($B146="NOT ASSIGNED","No NW part no. ","")&amp;IFERROR(IF(INDEX(Conversion!$J$2:$J$500,MATCH($A146,Conversion!$B$2:$B$500,0))="Needs review","Conversion table: needs review. ",""),"")&amp;IF(LEFT($E146,8)="ESTIMATE","Weight estimated. ","")&amp;"")</f>
        <v/>
      </c>
    </row>
    <row r="148">
      <c r="A148" s="14" t="inlineStr">
        <is>
          <t>Ball bearing swivels</t>
        </is>
      </c>
      <c r="B148" s="15" t="n"/>
      <c r="C148" s="15" t="n"/>
      <c r="D148" s="15" t="n"/>
      <c r="E148" s="15" t="n"/>
      <c r="F148" s="15" t="n"/>
      <c r="G148" s="15" t="n"/>
      <c r="H148" s="15" t="n"/>
      <c r="I148" s="15" t="n"/>
      <c r="J148" s="15" t="n"/>
      <c r="K148" s="15" t="n"/>
      <c r="L148" s="15" t="n"/>
      <c r="M148" s="15" t="n"/>
      <c r="N148" s="15" t="n"/>
      <c r="O148" s="15" t="n"/>
    </row>
    <row r="150">
      <c r="A150" s="16" t="inlineStr">
        <is>
          <t>Qty break</t>
        </is>
      </c>
      <c r="B150" s="17" t="n"/>
      <c r="C150" s="17" t="n"/>
      <c r="D150" s="17" t="n"/>
      <c r="E150" s="17" t="n"/>
      <c r="F150" s="18" t="inlineStr">
        <is>
          <t>&lt; 10 pcs</t>
        </is>
      </c>
      <c r="G150" s="18" t="inlineStr">
        <is>
          <t>≥ 10 pcs</t>
        </is>
      </c>
      <c r="H150" s="18" t="inlineStr">
        <is>
          <t>≥ 50 pcs</t>
        </is>
      </c>
      <c r="I150" s="18" t="inlineStr">
        <is>
          <t>&lt; 10 pcs</t>
        </is>
      </c>
      <c r="J150" s="18" t="inlineStr">
        <is>
          <t>≥ 10 pcs</t>
        </is>
      </c>
      <c r="K150" s="18" t="inlineStr">
        <is>
          <t>≥ 50 pcs</t>
        </is>
      </c>
      <c r="L150" s="18" t="inlineStr">
        <is>
          <t>&lt; 10 pcs</t>
        </is>
      </c>
      <c r="M150" s="18" t="inlineStr">
        <is>
          <t>≥ 10 pcs</t>
        </is>
      </c>
      <c r="N150" s="18" t="inlineStr">
        <is>
          <t>≥ 50 pcs</t>
        </is>
      </c>
      <c r="O150" s="17" t="n"/>
    </row>
    <row r="151">
      <c r="A151" s="30" t="inlineStr">
        <is>
          <t>Brass ball bearing swivels</t>
        </is>
      </c>
      <c r="B151" s="31" t="n"/>
      <c r="C151" s="31" t="n"/>
      <c r="D151" s="31" t="n"/>
      <c r="E151" s="31" t="n"/>
      <c r="F151" s="31" t="n"/>
      <c r="G151" s="31" t="n"/>
      <c r="H151" s="31" t="n"/>
      <c r="I151" s="31" t="n"/>
      <c r="J151" s="31" t="n"/>
      <c r="K151" s="31" t="n"/>
      <c r="L151" s="31" t="n"/>
      <c r="M151" s="31" t="n"/>
      <c r="N151" s="31" t="n"/>
      <c r="O151" s="31" t="n"/>
    </row>
    <row r="153">
      <c r="A153" s="19" t="inlineStr">
        <is>
          <t>SWM09-12</t>
        </is>
      </c>
      <c r="B153" s="20">
        <f>IFERROR(INDEX(Conversion!$C$2:$C$500,MATCH($A153,Conversion!$B$2:$B$500,0)),"NOT ASSIGNED")</f>
        <v/>
      </c>
      <c r="C153" s="21" t="inlineStr">
        <is>
          <t>Brass ball bearing swivel, 1/2" male x 1/2" female, 9mm bore, flat seals</t>
        </is>
      </c>
      <c r="D153" s="29" t="n">
        <v>0.09</v>
      </c>
      <c r="E153" s="23" t="inlineStr">
        <is>
          <t>ESTIMATE - catalogue gives dimensions only (p.68-71)</t>
        </is>
      </c>
      <c r="F153" s="24" t="n">
        <v>10.100112</v>
      </c>
      <c r="G153" s="24" t="n">
        <v>8.837598</v>
      </c>
      <c r="H153" s="24" t="n">
        <v>8.206341</v>
      </c>
      <c r="I153" s="26">
        <f>IF(F153="","",F153/$C$5*(1+$C$8)+$D153*(1+$C$7)*$C$6)</f>
        <v/>
      </c>
      <c r="J153" s="26">
        <f>IF(G153="","",G153/$C$5*(1+$C$8)+$D153*(1+$C$7)*$C$6)</f>
        <v/>
      </c>
      <c r="K153" s="26">
        <f>IF(H153="","",H153/$C$5*(1+$C$8)+$D153*(1+$C$7)*$C$6)</f>
        <v/>
      </c>
      <c r="L153" s="27">
        <f>IF(I153="","",ROUND(I153*(1+$C$9),2))</f>
        <v/>
      </c>
      <c r="M153" s="27">
        <f>IF(J153="","",ROUND(J153*(1+$C$9),2))</f>
        <v/>
      </c>
      <c r="N153" s="27">
        <f>IF(K153="","",ROUND(K153*(1+$C$9),2))</f>
        <v/>
      </c>
      <c r="O153" s="28">
        <f>TRIM(IF($B153="NOT ASSIGNED","No NW part no. ","")&amp;IFERROR(IF(INDEX(Conversion!$J$2:$J$500,MATCH($A153,Conversion!$B$2:$B$500,0))="Needs review","Conversion table: needs review. ",""),"")&amp;IF(LEFT($E153,8)="ESTIMATE","Weight estimated. ","")&amp;"")</f>
        <v/>
      </c>
    </row>
    <row r="154">
      <c r="A154" s="19" t="inlineStr">
        <is>
          <t>SWM09-34</t>
        </is>
      </c>
      <c r="B154" s="20">
        <f>IFERROR(INDEX(Conversion!$C$2:$C$500,MATCH($A154,Conversion!$B$2:$B$500,0)),"NOT ASSIGNED")</f>
        <v/>
      </c>
      <c r="C154" s="21" t="inlineStr">
        <is>
          <t>Brass ball bearing swivel, 1/2" male x 3/4" female, 9mm bore, flat seals</t>
        </is>
      </c>
      <c r="D154" s="29" t="n">
        <v>0.1</v>
      </c>
      <c r="E154" s="23" t="inlineStr">
        <is>
          <t>ESTIMATE - catalogue gives dimensions only (p.68-71)</t>
        </is>
      </c>
      <c r="F154" s="24" t="n">
        <v>10.447536</v>
      </c>
      <c r="G154" s="24" t="n">
        <v>9.141594</v>
      </c>
      <c r="H154" s="24" t="n">
        <v>8.488623</v>
      </c>
      <c r="I154" s="26">
        <f>IF(F154="","",F154/$C$5*(1+$C$8)+$D154*(1+$C$7)*$C$6)</f>
        <v/>
      </c>
      <c r="J154" s="26">
        <f>IF(G154="","",G154/$C$5*(1+$C$8)+$D154*(1+$C$7)*$C$6)</f>
        <v/>
      </c>
      <c r="K154" s="26">
        <f>IF(H154="","",H154/$C$5*(1+$C$8)+$D154*(1+$C$7)*$C$6)</f>
        <v/>
      </c>
      <c r="L154" s="27">
        <f>IF(I154="","",ROUND(I154*(1+$C$9),2))</f>
        <v/>
      </c>
      <c r="M154" s="27">
        <f>IF(J154="","",ROUND(J154*(1+$C$9),2))</f>
        <v/>
      </c>
      <c r="N154" s="27">
        <f>IF(K154="","",ROUND(K154*(1+$C$9),2))</f>
        <v/>
      </c>
      <c r="O154" s="28">
        <f>TRIM(IF($B154="NOT ASSIGNED","No NW part no. ","")&amp;IFERROR(IF(INDEX(Conversion!$J$2:$J$500,MATCH($A154,Conversion!$B$2:$B$500,0))="Needs review","Conversion table: needs review. ",""),"")&amp;IF(LEFT($E154,8)="ESTIMATE","Weight estimated. ","")&amp;"")</f>
        <v/>
      </c>
    </row>
    <row r="155">
      <c r="A155" s="19" t="inlineStr">
        <is>
          <t>SWM14-34</t>
        </is>
      </c>
      <c r="B155" s="20">
        <f>IFERROR(INDEX(Conversion!$C$2:$C$500,MATCH($A155,Conversion!$B$2:$B$500,0)),"NOT ASSIGNED")</f>
        <v/>
      </c>
      <c r="C155" s="21" t="inlineStr">
        <is>
          <t>Brass ball bearing swivel, 1/2" male x 3/4" female, 14mm bore, flat seals</t>
        </is>
      </c>
      <c r="D155" s="29" t="n">
        <v>0.13</v>
      </c>
      <c r="E155" s="23" t="inlineStr">
        <is>
          <t>ESTIMATE - catalogue gives dimensions only (p.68-71)</t>
        </is>
      </c>
      <c r="F155" s="24" t="n">
        <v>11.1672</v>
      </c>
      <c r="G155" s="24" t="n">
        <v>9.7713</v>
      </c>
      <c r="H155" s="24" t="n">
        <v>9.07335</v>
      </c>
      <c r="I155" s="26">
        <f>IF(F155="","",F155/$C$5*(1+$C$8)+$D155*(1+$C$7)*$C$6)</f>
        <v/>
      </c>
      <c r="J155" s="26">
        <f>IF(G155="","",G155/$C$5*(1+$C$8)+$D155*(1+$C$7)*$C$6)</f>
        <v/>
      </c>
      <c r="K155" s="26">
        <f>IF(H155="","",H155/$C$5*(1+$C$8)+$D155*(1+$C$7)*$C$6)</f>
        <v/>
      </c>
      <c r="L155" s="27">
        <f>IF(I155="","",ROUND(I155*(1+$C$9),2))</f>
        <v/>
      </c>
      <c r="M155" s="27">
        <f>IF(J155="","",ROUND(J155*(1+$C$9),2))</f>
        <v/>
      </c>
      <c r="N155" s="27">
        <f>IF(K155="","",ROUND(K155*(1+$C$9),2))</f>
        <v/>
      </c>
      <c r="O155" s="28">
        <f>TRIM(IF($B155="NOT ASSIGNED","No NW part no. ","")&amp;IFERROR(IF(INDEX(Conversion!$J$2:$J$500,MATCH($A155,Conversion!$B$2:$B$500,0))="Needs review","Conversion table: needs review. ",""),"")&amp;IF(LEFT($E155,8)="ESTIMATE","Weight estimated. ","")&amp;"")</f>
        <v/>
      </c>
    </row>
    <row r="156">
      <c r="A156" s="19" t="inlineStr">
        <is>
          <t>SWM14-34X34</t>
        </is>
      </c>
      <c r="B156" s="20">
        <f>IFERROR(INDEX(Conversion!$C$2:$C$500,MATCH($A156,Conversion!$B$2:$B$500,0)),"NOT ASSIGNED")</f>
        <v/>
      </c>
      <c r="C156" s="21" t="inlineStr">
        <is>
          <t>Brass ball bearing swivel, 3/4" male x 3/4" female, 14mm bore, flat seals</t>
        </is>
      </c>
      <c r="D156" s="29" t="n">
        <v>0.15</v>
      </c>
      <c r="E156" s="23" t="inlineStr">
        <is>
          <t>ESTIMATE - catalogue gives dimensions only (p.68-71)</t>
        </is>
      </c>
      <c r="F156" s="24" t="n">
        <v>12.672704</v>
      </c>
      <c r="G156" s="24" t="n">
        <v>11.088616</v>
      </c>
      <c r="H156" s="24" t="n">
        <v>10.296572</v>
      </c>
      <c r="I156" s="26">
        <f>IF(F156="","",F156/$C$5*(1+$C$8)+$D156*(1+$C$7)*$C$6)</f>
        <v/>
      </c>
      <c r="J156" s="26">
        <f>IF(G156="","",G156/$C$5*(1+$C$8)+$D156*(1+$C$7)*$C$6)</f>
        <v/>
      </c>
      <c r="K156" s="26">
        <f>IF(H156="","",H156/$C$5*(1+$C$8)+$D156*(1+$C$7)*$C$6)</f>
        <v/>
      </c>
      <c r="L156" s="27">
        <f>IF(I156="","",ROUND(I156*(1+$C$9),2))</f>
        <v/>
      </c>
      <c r="M156" s="27">
        <f>IF(J156="","",ROUND(J156*(1+$C$9),2))</f>
        <v/>
      </c>
      <c r="N156" s="27">
        <f>IF(K156="","",ROUND(K156*(1+$C$9),2))</f>
        <v/>
      </c>
      <c r="O156" s="28">
        <f>TRIM(IF($B156="NOT ASSIGNED","No NW part no. ","")&amp;IFERROR(IF(INDEX(Conversion!$J$2:$J$500,MATCH($A156,Conversion!$B$2:$B$500,0))="Needs review","Conversion table: needs review. ",""),"")&amp;IF(LEFT($E156,8)="ESTIMATE","Weight estimated. ","")&amp;"")</f>
        <v/>
      </c>
    </row>
    <row r="157">
      <c r="A157" s="19" t="inlineStr">
        <is>
          <t>SWM18-1X1</t>
        </is>
      </c>
      <c r="B157" s="20">
        <f>IFERROR(INDEX(Conversion!$C$2:$C$500,MATCH($A157,Conversion!$B$2:$B$500,0)),"NOT ASSIGNED")</f>
        <v/>
      </c>
      <c r="C157" s="21" t="inlineStr">
        <is>
          <t>Brass ball bearing swivel, 1" male x 1" female, 18mm bore, flat seals</t>
        </is>
      </c>
      <c r="D157" s="29" t="n">
        <v>0.25</v>
      </c>
      <c r="E157" s="23" t="inlineStr">
        <is>
          <t>ESTIMATE - catalogue gives dimensions only (p.68-71)</t>
        </is>
      </c>
      <c r="F157" s="24" t="n">
        <v>19.166224</v>
      </c>
      <c r="G157" s="24" t="n">
        <v>16.770446</v>
      </c>
      <c r="H157" s="24" t="n">
        <v>15.572557</v>
      </c>
      <c r="I157" s="26">
        <f>IF(F157="","",F157/$C$5*(1+$C$8)+$D157*(1+$C$7)*$C$6)</f>
        <v/>
      </c>
      <c r="J157" s="26">
        <f>IF(G157="","",G157/$C$5*(1+$C$8)+$D157*(1+$C$7)*$C$6)</f>
        <v/>
      </c>
      <c r="K157" s="26">
        <f>IF(H157="","",H157/$C$5*(1+$C$8)+$D157*(1+$C$7)*$C$6)</f>
        <v/>
      </c>
      <c r="L157" s="27">
        <f>IF(I157="","",ROUND(I157*(1+$C$9),2))</f>
        <v/>
      </c>
      <c r="M157" s="27">
        <f>IF(J157="","",ROUND(J157*(1+$C$9),2))</f>
        <v/>
      </c>
      <c r="N157" s="27">
        <f>IF(K157="","",ROUND(K157*(1+$C$9),2))</f>
        <v/>
      </c>
      <c r="O157" s="28">
        <f>TRIM(IF($B157="NOT ASSIGNED","No NW part no. ","")&amp;IFERROR(IF(INDEX(Conversion!$J$2:$J$500,MATCH($A157,Conversion!$B$2:$B$500,0))="Needs review","Conversion table: needs review. ",""),"")&amp;IF(LEFT($E157,8)="ESTIMATE","Weight estimated. ","")&amp;"")</f>
        <v/>
      </c>
    </row>
    <row r="158">
      <c r="A158" s="19" t="inlineStr">
        <is>
          <t>SWM09-12MX12M</t>
        </is>
      </c>
      <c r="B158" s="20">
        <f>IFERROR(INDEX(Conversion!$C$2:$C$500,MATCH($A158,Conversion!$B$2:$B$500,0)),"NOT ASSIGNED")</f>
        <v/>
      </c>
      <c r="C158" s="21" t="inlineStr">
        <is>
          <t>Brass ball bearing swivel, 1/2" male x 1/2" male, 9mm bore, flat seals</t>
        </is>
      </c>
      <c r="D158" s="29" t="n">
        <v>0.09</v>
      </c>
      <c r="E158" s="23" t="inlineStr">
        <is>
          <t>ESTIMATE - catalogue gives dimensions only (p.68-71)</t>
        </is>
      </c>
      <c r="F158" s="24" t="n">
        <v>10.348272</v>
      </c>
      <c r="G158" s="24" t="n">
        <v>9.054738</v>
      </c>
      <c r="H158" s="24" t="n">
        <v>8.407971</v>
      </c>
      <c r="I158" s="26">
        <f>IF(F158="","",F158/$C$5*(1+$C$8)+$D158*(1+$C$7)*$C$6)</f>
        <v/>
      </c>
      <c r="J158" s="26">
        <f>IF(G158="","",G158/$C$5*(1+$C$8)+$D158*(1+$C$7)*$C$6)</f>
        <v/>
      </c>
      <c r="K158" s="26">
        <f>IF(H158="","",H158/$C$5*(1+$C$8)+$D158*(1+$C$7)*$C$6)</f>
        <v/>
      </c>
      <c r="L158" s="27">
        <f>IF(I158="","",ROUND(I158*(1+$C$9),2))</f>
        <v/>
      </c>
      <c r="M158" s="27">
        <f>IF(J158="","",ROUND(J158*(1+$C$9),2))</f>
        <v/>
      </c>
      <c r="N158" s="27">
        <f>IF(K158="","",ROUND(K158*(1+$C$9),2))</f>
        <v/>
      </c>
      <c r="O158" s="28">
        <f>TRIM(IF($B158="NOT ASSIGNED","No NW part no. ","")&amp;IFERROR(IF(INDEX(Conversion!$J$2:$J$500,MATCH($A158,Conversion!$B$2:$B$500,0))="Needs review","Conversion table: needs review. ",""),"")&amp;IF(LEFT($E158,8)="ESTIMATE","Weight estimated. ","")&amp;"")</f>
        <v/>
      </c>
    </row>
    <row r="159">
      <c r="A159" s="19" t="inlineStr">
        <is>
          <t>SWM09-12MX34M</t>
        </is>
      </c>
      <c r="B159" s="20">
        <f>IFERROR(INDEX(Conversion!$C$2:$C$500,MATCH($A159,Conversion!$B$2:$B$500,0)),"NOT ASSIGNED")</f>
        <v/>
      </c>
      <c r="C159" s="21" t="inlineStr">
        <is>
          <t>Brass ball bearing swivel, 1/2" male x 3/4" male, 9mm bore, flat seal</t>
        </is>
      </c>
      <c r="D159" s="29" t="n">
        <v>0.1</v>
      </c>
      <c r="E159" s="23" t="inlineStr">
        <is>
          <t>ESTIMATE - catalogue gives dimensions only (p.68-71)</t>
        </is>
      </c>
      <c r="F159" s="24" t="n">
        <v>10.348272</v>
      </c>
      <c r="G159" s="24" t="n">
        <v>9.054738</v>
      </c>
      <c r="H159" s="24" t="n">
        <v>8.407971</v>
      </c>
      <c r="I159" s="26">
        <f>IF(F159="","",F159/$C$5*(1+$C$8)+$D159*(1+$C$7)*$C$6)</f>
        <v/>
      </c>
      <c r="J159" s="26">
        <f>IF(G159="","",G159/$C$5*(1+$C$8)+$D159*(1+$C$7)*$C$6)</f>
        <v/>
      </c>
      <c r="K159" s="26">
        <f>IF(H159="","",H159/$C$5*(1+$C$8)+$D159*(1+$C$7)*$C$6)</f>
        <v/>
      </c>
      <c r="L159" s="27">
        <f>IF(I159="","",ROUND(I159*(1+$C$9),2))</f>
        <v/>
      </c>
      <c r="M159" s="27">
        <f>IF(J159="","",ROUND(J159*(1+$C$9),2))</f>
        <v/>
      </c>
      <c r="N159" s="27">
        <f>IF(K159="","",ROUND(K159*(1+$C$9),2))</f>
        <v/>
      </c>
      <c r="O159" s="28">
        <f>TRIM(IF($B159="NOT ASSIGNED","No NW part no. ","")&amp;IFERROR(IF(INDEX(Conversion!$J$2:$J$500,MATCH($A159,Conversion!$B$2:$B$500,0))="Needs review","Conversion table: needs review. ",""),"")&amp;IF(LEFT($E159,8)="ESTIMATE","Weight estimated. ","")&amp;"")</f>
        <v/>
      </c>
    </row>
    <row r="161">
      <c r="A161" s="30" t="inlineStr">
        <is>
          <t>Chrome plated brass ball bearing swivels</t>
        </is>
      </c>
      <c r="B161" s="31" t="n"/>
      <c r="C161" s="31" t="n"/>
      <c r="D161" s="31" t="n"/>
      <c r="E161" s="31" t="n"/>
      <c r="F161" s="31" t="n"/>
      <c r="G161" s="31" t="n"/>
      <c r="H161" s="31" t="n"/>
      <c r="I161" s="31" t="n"/>
      <c r="J161" s="31" t="n"/>
      <c r="K161" s="31" t="n"/>
      <c r="L161" s="31" t="n"/>
      <c r="M161" s="31" t="n"/>
      <c r="N161" s="31" t="n"/>
      <c r="O161" s="31" t="n"/>
    </row>
    <row r="163">
      <c r="A163" s="19" t="inlineStr">
        <is>
          <t>SWC09-12</t>
        </is>
      </c>
      <c r="B163" s="20">
        <f>IFERROR(INDEX(Conversion!$C$2:$C$500,MATCH($A163,Conversion!$B$2:$B$500,0)),"NOT ASSIGNED")</f>
        <v/>
      </c>
      <c r="C163" s="21" t="inlineStr">
        <is>
          <t>Chrome plated brass ball bearing swivel, 1/2" male x 1/2" female, 9mm bore, flat seals</t>
        </is>
      </c>
      <c r="D163" s="29" t="n">
        <v>0.09</v>
      </c>
      <c r="E163" s="23" t="inlineStr">
        <is>
          <t>ESTIMATE - catalogue gives dimensions only (p.68-71)</t>
        </is>
      </c>
      <c r="F163" s="24" t="n">
        <v>12.978768</v>
      </c>
      <c r="G163" s="24" t="n">
        <v>11.356422</v>
      </c>
      <c r="H163" s="24" t="n">
        <v>10.545249</v>
      </c>
      <c r="I163" s="26">
        <f>IF(F163="","",F163/$C$5*(1+$C$8)+$D163*(1+$C$7)*$C$6)</f>
        <v/>
      </c>
      <c r="J163" s="26">
        <f>IF(G163="","",G163/$C$5*(1+$C$8)+$D163*(1+$C$7)*$C$6)</f>
        <v/>
      </c>
      <c r="K163" s="26">
        <f>IF(H163="","",H163/$C$5*(1+$C$8)+$D163*(1+$C$7)*$C$6)</f>
        <v/>
      </c>
      <c r="L163" s="27">
        <f>IF(I163="","",ROUND(I163*(1+$C$9),2))</f>
        <v/>
      </c>
      <c r="M163" s="27">
        <f>IF(J163="","",ROUND(J163*(1+$C$9),2))</f>
        <v/>
      </c>
      <c r="N163" s="27">
        <f>IF(K163="","",ROUND(K163*(1+$C$9),2))</f>
        <v/>
      </c>
      <c r="O163" s="28">
        <f>TRIM(IF($B163="NOT ASSIGNED","No NW part no. ","")&amp;IFERROR(IF(INDEX(Conversion!$J$2:$J$500,MATCH($A163,Conversion!$B$2:$B$500,0))="Needs review","Conversion table: needs review. ",""),"")&amp;IF(LEFT($E163,8)="ESTIMATE","Weight estimated. ","")&amp;"")</f>
        <v/>
      </c>
    </row>
    <row r="164">
      <c r="A164" s="19" t="inlineStr">
        <is>
          <t>SWC09-34</t>
        </is>
      </c>
      <c r="B164" s="20">
        <f>IFERROR(INDEX(Conversion!$C$2:$C$500,MATCH($A164,Conversion!$B$2:$B$500,0)),"NOT ASSIGNED")</f>
        <v/>
      </c>
      <c r="C164" s="21" t="inlineStr">
        <is>
          <t>Chrome plated brass ball bearing swivel, 1/2" male x 3/4" female, 9mm bore, flat seals</t>
        </is>
      </c>
      <c r="D164" s="29" t="n">
        <v>0.1</v>
      </c>
      <c r="E164" s="23" t="inlineStr">
        <is>
          <t>ESTIMATE - catalogue gives dimensions only (p.68-71)</t>
        </is>
      </c>
      <c r="F164" s="24" t="n">
        <v>12.978768</v>
      </c>
      <c r="G164" s="24" t="n">
        <v>11.356422</v>
      </c>
      <c r="H164" s="24" t="n">
        <v>10.545249</v>
      </c>
      <c r="I164" s="26">
        <f>IF(F164="","",F164/$C$5*(1+$C$8)+$D164*(1+$C$7)*$C$6)</f>
        <v/>
      </c>
      <c r="J164" s="26">
        <f>IF(G164="","",G164/$C$5*(1+$C$8)+$D164*(1+$C$7)*$C$6)</f>
        <v/>
      </c>
      <c r="K164" s="26">
        <f>IF(H164="","",H164/$C$5*(1+$C$8)+$D164*(1+$C$7)*$C$6)</f>
        <v/>
      </c>
      <c r="L164" s="27">
        <f>IF(I164="","",ROUND(I164*(1+$C$9),2))</f>
        <v/>
      </c>
      <c r="M164" s="27">
        <f>IF(J164="","",ROUND(J164*(1+$C$9),2))</f>
        <v/>
      </c>
      <c r="N164" s="27">
        <f>IF(K164="","",ROUND(K164*(1+$C$9),2))</f>
        <v/>
      </c>
      <c r="O164" s="28">
        <f>TRIM(IF($B164="NOT ASSIGNED","No NW part no. ","")&amp;IFERROR(IF(INDEX(Conversion!$J$2:$J$500,MATCH($A164,Conversion!$B$2:$B$500,0))="Needs review","Conversion table: needs review. ",""),"")&amp;IF(LEFT($E164,8)="ESTIMATE","Weight estimated. ","")&amp;"")</f>
        <v/>
      </c>
    </row>
    <row r="166">
      <c r="A166" s="30" t="inlineStr">
        <is>
          <t>Stainless steel 316 ball bearing swivels</t>
        </is>
      </c>
      <c r="B166" s="31" t="n"/>
      <c r="C166" s="31" t="n"/>
      <c r="D166" s="31" t="n"/>
      <c r="E166" s="31" t="n"/>
      <c r="F166" s="31" t="n"/>
      <c r="G166" s="31" t="n"/>
      <c r="H166" s="31" t="n"/>
      <c r="I166" s="31" t="n"/>
      <c r="J166" s="31" t="n"/>
      <c r="K166" s="31" t="n"/>
      <c r="L166" s="31" t="n"/>
      <c r="M166" s="31" t="n"/>
      <c r="N166" s="31" t="n"/>
      <c r="O166" s="31" t="n"/>
    </row>
    <row r="168">
      <c r="A168" s="19" t="inlineStr">
        <is>
          <t>SWR09-12</t>
        </is>
      </c>
      <c r="B168" s="20">
        <f>IFERROR(INDEX(Conversion!$C$2:$C$500,MATCH($A168,Conversion!$B$2:$B$500,0)),"NOT ASSIGNED")</f>
        <v/>
      </c>
      <c r="C168" s="21" t="inlineStr">
        <is>
          <t>St.st. ball bearing swivel, 1/2" male x 1/2" female, 9mm bore, flat seals</t>
        </is>
      </c>
      <c r="D168" s="29" t="n">
        <v>0.09</v>
      </c>
      <c r="E168" s="23" t="inlineStr">
        <is>
          <t>ESTIMATE - catalogue gives dimensions only (p.68-71)</t>
        </is>
      </c>
      <c r="F168" s="24" t="n">
        <v>20.076144</v>
      </c>
      <c r="G168" s="24" t="n">
        <v>17.566626</v>
      </c>
      <c r="H168" s="24" t="n">
        <v>16.311867</v>
      </c>
      <c r="I168" s="26">
        <f>IF(F168="","",F168/$C$5*(1+$C$8)+$D168*(1+$C$7)*$C$6)</f>
        <v/>
      </c>
      <c r="J168" s="26">
        <f>IF(G168="","",G168/$C$5*(1+$C$8)+$D168*(1+$C$7)*$C$6)</f>
        <v/>
      </c>
      <c r="K168" s="26">
        <f>IF(H168="","",H168/$C$5*(1+$C$8)+$D168*(1+$C$7)*$C$6)</f>
        <v/>
      </c>
      <c r="L168" s="27">
        <f>IF(I168="","",ROUND(I168*(1+$C$9),2))</f>
        <v/>
      </c>
      <c r="M168" s="27">
        <f>IF(J168="","",ROUND(J168*(1+$C$9),2))</f>
        <v/>
      </c>
      <c r="N168" s="27">
        <f>IF(K168="","",ROUND(K168*(1+$C$9),2))</f>
        <v/>
      </c>
      <c r="O168" s="28">
        <f>TRIM(IF($B168="NOT ASSIGNED","No NW part no. ","")&amp;IFERROR(IF(INDEX(Conversion!$J$2:$J$500,MATCH($A168,Conversion!$B$2:$B$500,0))="Needs review","Conversion table: needs review. ",""),"")&amp;IF(LEFT($E168,8)="ESTIMATE","Weight estimated. ","")&amp;"")</f>
        <v/>
      </c>
    </row>
    <row r="169">
      <c r="A169" s="19" t="inlineStr">
        <is>
          <t>SWR09-34</t>
        </is>
      </c>
      <c r="B169" s="20">
        <f>IFERROR(INDEX(Conversion!$C$2:$C$500,MATCH($A169,Conversion!$B$2:$B$500,0)),"NOT ASSIGNED")</f>
        <v/>
      </c>
      <c r="C169" s="21" t="inlineStr">
        <is>
          <t>St.st. ball bearing swivel, 1/2" male x 3/4" female, 9mm bore, flat seals</t>
        </is>
      </c>
      <c r="D169" s="29" t="n">
        <v>0.1</v>
      </c>
      <c r="E169" s="23" t="inlineStr">
        <is>
          <t>ESTIMATE - catalogue gives dimensions only (p.68-71)</t>
        </is>
      </c>
      <c r="F169" s="24" t="n">
        <v>20.382208</v>
      </c>
      <c r="G169" s="24" t="n">
        <v>17.834432</v>
      </c>
      <c r="H169" s="24" t="n">
        <v>16.560544</v>
      </c>
      <c r="I169" s="26">
        <f>IF(F169="","",F169/$C$5*(1+$C$8)+$D169*(1+$C$7)*$C$6)</f>
        <v/>
      </c>
      <c r="J169" s="26">
        <f>IF(G169="","",G169/$C$5*(1+$C$8)+$D169*(1+$C$7)*$C$6)</f>
        <v/>
      </c>
      <c r="K169" s="26">
        <f>IF(H169="","",H169/$C$5*(1+$C$8)+$D169*(1+$C$7)*$C$6)</f>
        <v/>
      </c>
      <c r="L169" s="27">
        <f>IF(I169="","",ROUND(I169*(1+$C$9),2))</f>
        <v/>
      </c>
      <c r="M169" s="27">
        <f>IF(J169="","",ROUND(J169*(1+$C$9),2))</f>
        <v/>
      </c>
      <c r="N169" s="27">
        <f>IF(K169="","",ROUND(K169*(1+$C$9),2))</f>
        <v/>
      </c>
      <c r="O169" s="28">
        <f>TRIM(IF($B169="NOT ASSIGNED","No NW part no. ","")&amp;IFERROR(IF(INDEX(Conversion!$J$2:$J$500,MATCH($A169,Conversion!$B$2:$B$500,0))="Needs review","Conversion table: needs review. ",""),"")&amp;IF(LEFT($E169,8)="ESTIMATE","Weight estimated. ","")&amp;"")</f>
        <v/>
      </c>
    </row>
    <row r="170">
      <c r="A170" s="19" t="inlineStr">
        <is>
          <t>SWR14-34</t>
        </is>
      </c>
      <c r="B170" s="20">
        <f>IFERROR(INDEX(Conversion!$C$2:$C$500,MATCH($A170,Conversion!$B$2:$B$500,0)),"NOT ASSIGNED")</f>
        <v/>
      </c>
      <c r="C170" s="21" t="inlineStr">
        <is>
          <t>St.st. ball bearing swivel, 1/2" male x 3/4" female, 14mm bore, flat seals</t>
        </is>
      </c>
      <c r="D170" s="29" t="n">
        <v>0.13</v>
      </c>
      <c r="E170" s="23" t="inlineStr">
        <is>
          <t>ESTIMATE - catalogue gives dimensions only (p.68-71)</t>
        </is>
      </c>
      <c r="F170" s="24" t="n">
        <v>21.498928</v>
      </c>
      <c r="G170" s="24" t="n">
        <v>18.811562</v>
      </c>
      <c r="H170" s="24" t="n">
        <v>17.467879</v>
      </c>
      <c r="I170" s="26">
        <f>IF(F170="","",F170/$C$5*(1+$C$8)+$D170*(1+$C$7)*$C$6)</f>
        <v/>
      </c>
      <c r="J170" s="26">
        <f>IF(G170="","",G170/$C$5*(1+$C$8)+$D170*(1+$C$7)*$C$6)</f>
        <v/>
      </c>
      <c r="K170" s="26">
        <f>IF(H170="","",H170/$C$5*(1+$C$8)+$D170*(1+$C$7)*$C$6)</f>
        <v/>
      </c>
      <c r="L170" s="27">
        <f>IF(I170="","",ROUND(I170*(1+$C$9),2))</f>
        <v/>
      </c>
      <c r="M170" s="27">
        <f>IF(J170="","",ROUND(J170*(1+$C$9),2))</f>
        <v/>
      </c>
      <c r="N170" s="27">
        <f>IF(K170="","",ROUND(K170*(1+$C$9),2))</f>
        <v/>
      </c>
      <c r="O170" s="28">
        <f>TRIM(IF($B170="NOT ASSIGNED","No NW part no. ","")&amp;IFERROR(IF(INDEX(Conversion!$J$2:$J$500,MATCH($A170,Conversion!$B$2:$B$500,0))="Needs review","Conversion table: needs review. ",""),"")&amp;IF(LEFT($E170,8)="ESTIMATE","Weight estimated. ","")&amp;"")</f>
        <v/>
      </c>
    </row>
    <row r="171">
      <c r="A171" s="19" t="inlineStr">
        <is>
          <t>SWR14-34X34</t>
        </is>
      </c>
      <c r="B171" s="20">
        <f>IFERROR(INDEX(Conversion!$C$2:$C$500,MATCH($A171,Conversion!$B$2:$B$500,0)),"NOT ASSIGNED")</f>
        <v/>
      </c>
      <c r="C171" s="21" t="inlineStr">
        <is>
          <t>St. st. ball bearing swivel, 3/4" male x 3/4" female, 14mm bore, flat seals</t>
        </is>
      </c>
      <c r="D171" s="29" t="n">
        <v>0.15</v>
      </c>
      <c r="E171" s="23" t="inlineStr">
        <is>
          <t>ESTIMATE - catalogue gives dimensions only (p.68-71)</t>
        </is>
      </c>
      <c r="F171" s="24" t="n">
        <v>24.948352</v>
      </c>
      <c r="G171" s="24" t="n">
        <v>21.829808</v>
      </c>
      <c r="H171" s="24" t="n">
        <v>20.270536</v>
      </c>
      <c r="I171" s="26">
        <f>IF(F171="","",F171/$C$5*(1+$C$8)+$D171*(1+$C$7)*$C$6)</f>
        <v/>
      </c>
      <c r="J171" s="26">
        <f>IF(G171="","",G171/$C$5*(1+$C$8)+$D171*(1+$C$7)*$C$6)</f>
        <v/>
      </c>
      <c r="K171" s="26">
        <f>IF(H171="","",H171/$C$5*(1+$C$8)+$D171*(1+$C$7)*$C$6)</f>
        <v/>
      </c>
      <c r="L171" s="27">
        <f>IF(I171="","",ROUND(I171*(1+$C$9),2))</f>
        <v/>
      </c>
      <c r="M171" s="27">
        <f>IF(J171="","",ROUND(J171*(1+$C$9),2))</f>
        <v/>
      </c>
      <c r="N171" s="27">
        <f>IF(K171="","",ROUND(K171*(1+$C$9),2))</f>
        <v/>
      </c>
      <c r="O171" s="28">
        <f>TRIM(IF($B171="NOT ASSIGNED","No NW part no. ","")&amp;IFERROR(IF(INDEX(Conversion!$J$2:$J$500,MATCH($A171,Conversion!$B$2:$B$500,0))="Needs review","Conversion table: needs review. ",""),"")&amp;IF(LEFT($E171,8)="ESTIMATE","Weight estimated. ","")&amp;"")</f>
        <v/>
      </c>
    </row>
    <row r="172">
      <c r="A172" s="19" t="inlineStr">
        <is>
          <t>SWR18-1X1</t>
        </is>
      </c>
      <c r="B172" s="20">
        <f>IFERROR(INDEX(Conversion!$C$2:$C$500,MATCH($A172,Conversion!$B$2:$B$500,0)),"NOT ASSIGNED")</f>
        <v/>
      </c>
      <c r="C172" s="21" t="inlineStr">
        <is>
          <t>St.st. ball bearing swivel, 1" male x 1" female, 18mm bore, flat seals</t>
        </is>
      </c>
      <c r="D172" s="29" t="n">
        <v>0.25</v>
      </c>
      <c r="E172" s="23" t="inlineStr">
        <is>
          <t>ESTIMATE - catalogue gives dimensions only (p.68-71)</t>
        </is>
      </c>
      <c r="F172" s="24" t="n">
        <v>32.451056</v>
      </c>
      <c r="G172" s="24" t="n">
        <v>28.394674</v>
      </c>
      <c r="H172" s="24" t="n">
        <v>26.366483</v>
      </c>
      <c r="I172" s="26">
        <f>IF(F172="","",F172/$C$5*(1+$C$8)+$D172*(1+$C$7)*$C$6)</f>
        <v/>
      </c>
      <c r="J172" s="26">
        <f>IF(G172="","",G172/$C$5*(1+$C$8)+$D172*(1+$C$7)*$C$6)</f>
        <v/>
      </c>
      <c r="K172" s="26">
        <f>IF(H172="","",H172/$C$5*(1+$C$8)+$D172*(1+$C$7)*$C$6)</f>
        <v/>
      </c>
      <c r="L172" s="27">
        <f>IF(I172="","",ROUND(I172*(1+$C$9),2))</f>
        <v/>
      </c>
      <c r="M172" s="27">
        <f>IF(J172="","",ROUND(J172*(1+$C$9),2))</f>
        <v/>
      </c>
      <c r="N172" s="27">
        <f>IF(K172="","",ROUND(K172*(1+$C$9),2))</f>
        <v/>
      </c>
      <c r="O172" s="28">
        <f>TRIM(IF($B172="NOT ASSIGNED","No NW part no. ","")&amp;IFERROR(IF(INDEX(Conversion!$J$2:$J$500,MATCH($A172,Conversion!$B$2:$B$500,0))="Needs review","Conversion table: needs review. ",""),"")&amp;IF(LEFT($E172,8)="ESTIMATE","Weight estimated. ","")&amp;"")</f>
        <v/>
      </c>
    </row>
    <row r="173">
      <c r="A173" s="19" t="inlineStr">
        <is>
          <t>SWR09-12Mx12M</t>
        </is>
      </c>
      <c r="B173" s="20">
        <f>IFERROR(INDEX(Conversion!$C$2:$C$500,MATCH($A173,Conversion!$B$2:$B$500,0)),"NOT ASSIGNED")</f>
        <v/>
      </c>
      <c r="C173" s="21" t="inlineStr">
        <is>
          <t>St.st. ball bearing swivel, 1/2" male x 1/2" male, 9mm bore</t>
        </is>
      </c>
      <c r="D173" s="29" t="n">
        <v>0.09</v>
      </c>
      <c r="E173" s="23" t="inlineStr">
        <is>
          <t>ESTIMATE - catalogue gives dimensions only (p.68-71)</t>
        </is>
      </c>
      <c r="F173" s="24" t="n">
        <v>20.746176</v>
      </c>
      <c r="G173" s="24" t="n">
        <v>18.152904</v>
      </c>
      <c r="H173" s="24" t="n">
        <v>16.856268</v>
      </c>
      <c r="I173" s="26">
        <f>IF(F173="","",F173/$C$5*(1+$C$8)+$D173*(1+$C$7)*$C$6)</f>
        <v/>
      </c>
      <c r="J173" s="26">
        <f>IF(G173="","",G173/$C$5*(1+$C$8)+$D173*(1+$C$7)*$C$6)</f>
        <v/>
      </c>
      <c r="K173" s="26">
        <f>IF(H173="","",H173/$C$5*(1+$C$8)+$D173*(1+$C$7)*$C$6)</f>
        <v/>
      </c>
      <c r="L173" s="27">
        <f>IF(I173="","",ROUND(I173*(1+$C$9),2))</f>
        <v/>
      </c>
      <c r="M173" s="27">
        <f>IF(J173="","",ROUND(J173*(1+$C$9),2))</f>
        <v/>
      </c>
      <c r="N173" s="27">
        <f>IF(K173="","",ROUND(K173*(1+$C$9),2))</f>
        <v/>
      </c>
      <c r="O173" s="28">
        <f>TRIM(IF($B173="NOT ASSIGNED","No NW part no. ","")&amp;IFERROR(IF(INDEX(Conversion!$J$2:$J$500,MATCH($A173,Conversion!$B$2:$B$500,0))="Needs review","Conversion table: needs review. ",""),"")&amp;IF(LEFT($E173,8)="ESTIMATE","Weight estimated. ","")&amp;"")</f>
        <v/>
      </c>
    </row>
    <row r="174">
      <c r="A174" s="19" t="inlineStr">
        <is>
          <t>SWR09-12MX34M</t>
        </is>
      </c>
      <c r="B174" s="20">
        <f>IFERROR(INDEX(Conversion!$C$2:$C$500,MATCH($A174,Conversion!$B$2:$B$500,0)),"NOT ASSIGNED")</f>
        <v/>
      </c>
      <c r="C174" s="21" t="inlineStr">
        <is>
          <t>St.st. ball bearing swivel, 1/2" male x 3/4" male, 9mm bore, flat seal</t>
        </is>
      </c>
      <c r="D174" s="29" t="n">
        <v>0.1</v>
      </c>
      <c r="E174" s="23" t="inlineStr">
        <is>
          <t>ESTIMATE - catalogue gives dimensions only (p.68-71)</t>
        </is>
      </c>
      <c r="F174" s="24" t="n">
        <v>20.746176</v>
      </c>
      <c r="G174" s="24" t="n">
        <v>18.152904</v>
      </c>
      <c r="H174" s="24" t="n">
        <v>16.856268</v>
      </c>
      <c r="I174" s="26">
        <f>IF(F174="","",F174/$C$5*(1+$C$8)+$D174*(1+$C$7)*$C$6)</f>
        <v/>
      </c>
      <c r="J174" s="26">
        <f>IF(G174="","",G174/$C$5*(1+$C$8)+$D174*(1+$C$7)*$C$6)</f>
        <v/>
      </c>
      <c r="K174" s="26">
        <f>IF(H174="","",H174/$C$5*(1+$C$8)+$D174*(1+$C$7)*$C$6)</f>
        <v/>
      </c>
      <c r="L174" s="27">
        <f>IF(I174="","",ROUND(I174*(1+$C$9),2))</f>
        <v/>
      </c>
      <c r="M174" s="27">
        <f>IF(J174="","",ROUND(J174*(1+$C$9),2))</f>
        <v/>
      </c>
      <c r="N174" s="27">
        <f>IF(K174="","",ROUND(K174*(1+$C$9),2))</f>
        <v/>
      </c>
      <c r="O174" s="28">
        <f>TRIM(IF($B174="NOT ASSIGNED","No NW part no. ","")&amp;IFERROR(IF(INDEX(Conversion!$J$2:$J$500,MATCH($A174,Conversion!$B$2:$B$500,0))="Needs review","Conversion table: needs review. ",""),"")&amp;IF(LEFT($E174,8)="ESTIMATE","Weight estimated. ","")&amp;"")</f>
        <v/>
      </c>
    </row>
    <row r="176">
      <c r="A176" s="14" t="inlineStr">
        <is>
          <t>Swiveling hose tails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  <c r="O176" s="15" t="n"/>
    </row>
    <row r="178">
      <c r="A178" s="16" t="inlineStr">
        <is>
          <t>Qty break</t>
        </is>
      </c>
      <c r="B178" s="17" t="n"/>
      <c r="C178" s="17" t="n"/>
      <c r="D178" s="17" t="n"/>
      <c r="E178" s="17" t="n"/>
      <c r="F178" s="18" t="inlineStr">
        <is>
          <t>&lt; 10 pcs</t>
        </is>
      </c>
      <c r="G178" s="18" t="inlineStr">
        <is>
          <t>≥ 10 pcs</t>
        </is>
      </c>
      <c r="H178" s="18" t="inlineStr">
        <is>
          <t>≥ 50 pcs</t>
        </is>
      </c>
      <c r="I178" s="18" t="inlineStr">
        <is>
          <t>&lt; 10 pcs</t>
        </is>
      </c>
      <c r="J178" s="18" t="inlineStr">
        <is>
          <t>≥ 10 pcs</t>
        </is>
      </c>
      <c r="K178" s="18" t="inlineStr">
        <is>
          <t>≥ 50 pcs</t>
        </is>
      </c>
      <c r="L178" s="18" t="inlineStr">
        <is>
          <t>&lt; 10 pcs</t>
        </is>
      </c>
      <c r="M178" s="18" t="inlineStr">
        <is>
          <t>≥ 10 pcs</t>
        </is>
      </c>
      <c r="N178" s="18" t="inlineStr">
        <is>
          <t>≥ 50 pcs</t>
        </is>
      </c>
      <c r="O178" s="17" t="n"/>
    </row>
    <row r="179">
      <c r="A179" s="30" t="inlineStr">
        <is>
          <t>Up to 24 bar</t>
        </is>
      </c>
      <c r="B179" s="31" t="n"/>
      <c r="C179" s="31" t="n"/>
      <c r="D179" s="31" t="n"/>
      <c r="E179" s="31" t="n"/>
      <c r="F179" s="31" t="n"/>
      <c r="G179" s="31" t="n"/>
      <c r="H179" s="31" t="n"/>
      <c r="I179" s="31" t="n"/>
      <c r="J179" s="31" t="n"/>
      <c r="K179" s="31" t="n"/>
      <c r="L179" s="31" t="n"/>
      <c r="M179" s="31" t="n"/>
      <c r="N179" s="31" t="n"/>
      <c r="O179" s="31" t="n"/>
    </row>
    <row r="181">
      <c r="A181" s="19" t="inlineStr">
        <is>
          <t>SWIFM1/2</t>
        </is>
      </c>
      <c r="B181" s="20">
        <f>IFERROR(INDEX(Conversion!$C$2:$C$500,MATCH($A181,Conversion!$B$2:$B$500,0)),"NOT ASSIGNED")</f>
        <v/>
      </c>
      <c r="C181" s="21" t="inlineStr">
        <is>
          <t>Brass swivelling hose tail 13mm x 1/2" male</t>
        </is>
      </c>
      <c r="D181" s="29" t="n">
        <v>0.06</v>
      </c>
      <c r="E181" s="23" t="inlineStr">
        <is>
          <t>ESTIMATE - catalogue gives dimensions only (p.68-71)</t>
        </is>
      </c>
      <c r="F181" s="24" t="n">
        <v>4.061552</v>
      </c>
      <c r="G181" s="24" t="n">
        <v>3.553858</v>
      </c>
      <c r="H181" s="24" t="n">
        <v>3.300011</v>
      </c>
      <c r="I181" s="26">
        <f>IF(F181="","",F181/$C$5*(1+$C$8)+$D181*(1+$C$7)*$C$6)</f>
        <v/>
      </c>
      <c r="J181" s="26">
        <f>IF(G181="","",G181/$C$5*(1+$C$8)+$D181*(1+$C$7)*$C$6)</f>
        <v/>
      </c>
      <c r="K181" s="26">
        <f>IF(H181="","",H181/$C$5*(1+$C$8)+$D181*(1+$C$7)*$C$6)</f>
        <v/>
      </c>
      <c r="L181" s="27">
        <f>IF(I181="","",ROUND(I181*(1+$C$9),2))</f>
        <v/>
      </c>
      <c r="M181" s="27">
        <f>IF(J181="","",ROUND(J181*(1+$C$9),2))</f>
        <v/>
      </c>
      <c r="N181" s="27">
        <f>IF(K181="","",ROUND(K181*(1+$C$9),2))</f>
        <v/>
      </c>
      <c r="O181" s="28">
        <f>TRIM(IF($B181="NOT ASSIGNED","No NW part no. ","")&amp;IFERROR(IF(INDEX(Conversion!$J$2:$J$500,MATCH($A181,Conversion!$B$2:$B$500,0))="Needs review","Conversion table: needs review. ",""),"")&amp;IF(LEFT($E181,8)="ESTIMATE","Weight estimated. ","")&amp;"")</f>
        <v/>
      </c>
    </row>
    <row r="182">
      <c r="A182" s="19" t="inlineStr">
        <is>
          <t>SWIFR1/2</t>
        </is>
      </c>
      <c r="B182" s="20">
        <f>IFERROR(INDEX(Conversion!$C$2:$C$500,MATCH($A182,Conversion!$B$2:$B$500,0)),"NOT ASSIGNED")</f>
        <v/>
      </c>
      <c r="C182" s="21" t="inlineStr">
        <is>
          <t>Stainless steel swivelling hose tail 13mm x 1/2" male</t>
        </is>
      </c>
      <c r="D182" s="29" t="n">
        <v>0.06</v>
      </c>
      <c r="E182" s="23" t="inlineStr">
        <is>
          <t>ESTIMATE - catalogue gives dimensions only (p.68-71)</t>
        </is>
      </c>
      <c r="F182" s="24" t="n">
        <v>12.176384</v>
      </c>
      <c r="G182" s="24" t="n">
        <v>10.654336</v>
      </c>
      <c r="H182" s="24" t="n">
        <v>9.893312</v>
      </c>
      <c r="I182" s="26">
        <f>IF(F182="","",F182/$C$5*(1+$C$8)+$D182*(1+$C$7)*$C$6)</f>
        <v/>
      </c>
      <c r="J182" s="26">
        <f>IF(G182="","",G182/$C$5*(1+$C$8)+$D182*(1+$C$7)*$C$6)</f>
        <v/>
      </c>
      <c r="K182" s="26">
        <f>IF(H182="","",H182/$C$5*(1+$C$8)+$D182*(1+$C$7)*$C$6)</f>
        <v/>
      </c>
      <c r="L182" s="27">
        <f>IF(I182="","",ROUND(I182*(1+$C$9),2))</f>
        <v/>
      </c>
      <c r="M182" s="27">
        <f>IF(J182="","",ROUND(J182*(1+$C$9),2))</f>
        <v/>
      </c>
      <c r="N182" s="27">
        <f>IF(K182="","",ROUND(K182*(1+$C$9),2))</f>
        <v/>
      </c>
      <c r="O182" s="28">
        <f>TRIM(IF($B182="NOT ASSIGNED","No NW part no. ","")&amp;IFERROR(IF(INDEX(Conversion!$J$2:$J$500,MATCH($A182,Conversion!$B$2:$B$500,0))="Needs review","Conversion table: needs review. ",""),"")&amp;IF(LEFT($E182,8)="ESTIMATE","Weight estimated. ","")&amp;"")</f>
        <v/>
      </c>
    </row>
    <row r="184">
      <c r="A184" s="30" t="inlineStr">
        <is>
          <t>Up to 40 bar with full bore</t>
        </is>
      </c>
      <c r="B184" s="31" t="n"/>
      <c r="C184" s="31" t="n"/>
      <c r="D184" s="31" t="n"/>
      <c r="E184" s="31" t="n"/>
      <c r="F184" s="31" t="n"/>
      <c r="G184" s="31" t="n"/>
      <c r="H184" s="31" t="n"/>
      <c r="I184" s="31" t="n"/>
      <c r="J184" s="31" t="n"/>
      <c r="K184" s="31" t="n"/>
      <c r="L184" s="31" t="n"/>
      <c r="M184" s="31" t="n"/>
      <c r="N184" s="31" t="n"/>
      <c r="O184" s="31" t="n"/>
    </row>
    <row r="186">
      <c r="A186" s="19" t="inlineStr">
        <is>
          <t>SWIFB10</t>
        </is>
      </c>
      <c r="B186" s="20">
        <f>IFERROR(INDEX(Conversion!$C$2:$C$500,MATCH($A186,Conversion!$B$2:$B$500,0)),"NOT ASSIGNED")</f>
        <v/>
      </c>
      <c r="C186" s="21" t="inlineStr">
        <is>
          <t>St.st. full bore swivelling hose tail, 10mm x 1/2" BSPT male</t>
        </is>
      </c>
      <c r="D186" s="29" t="n">
        <v>0.08</v>
      </c>
      <c r="E186" s="23" t="inlineStr">
        <is>
          <t>ESTIMATE - catalogue gives dimensions only (p.68-71)</t>
        </is>
      </c>
      <c r="F186" s="24" t="n">
        <v>16.436464</v>
      </c>
      <c r="G186" s="24" t="n">
        <v>14.381906</v>
      </c>
      <c r="H186" s="24" t="n">
        <v>13.354627</v>
      </c>
      <c r="I186" s="26">
        <f>IF(F186="","",F186/$C$5*(1+$C$8)+$D186*(1+$C$7)*$C$6)</f>
        <v/>
      </c>
      <c r="J186" s="26">
        <f>IF(G186="","",G186/$C$5*(1+$C$8)+$D186*(1+$C$7)*$C$6)</f>
        <v/>
      </c>
      <c r="K186" s="26">
        <f>IF(H186="","",H186/$C$5*(1+$C$8)+$D186*(1+$C$7)*$C$6)</f>
        <v/>
      </c>
      <c r="L186" s="27">
        <f>IF(I186="","",ROUND(I186*(1+$C$9),2))</f>
        <v/>
      </c>
      <c r="M186" s="27">
        <f>IF(J186="","",ROUND(J186*(1+$C$9),2))</f>
        <v/>
      </c>
      <c r="N186" s="27">
        <f>IF(K186="","",ROUND(K186*(1+$C$9),2))</f>
        <v/>
      </c>
      <c r="O186" s="28">
        <f>TRIM(IF($B186="NOT ASSIGNED","No NW part no. ","")&amp;IFERROR(IF(INDEX(Conversion!$J$2:$J$500,MATCH($A186,Conversion!$B$2:$B$500,0))="Needs review","Conversion table: needs review. ",""),"")&amp;IF(LEFT($E186,8)="ESTIMATE","Weight estimated. ","")&amp;"")</f>
        <v/>
      </c>
    </row>
    <row r="187">
      <c r="A187" s="19" t="inlineStr">
        <is>
          <t>SWIFB13-C17</t>
        </is>
      </c>
      <c r="B187" s="20">
        <f>IFERROR(INDEX(Conversion!$C$2:$C$500,MATCH($A187,Conversion!$B$2:$B$500,0)),"NOT ASSIGNED")</f>
        <v/>
      </c>
      <c r="C187" s="21" t="inlineStr">
        <is>
          <t>St.st. full bore swivelling hose tail, 13mm x 1/2" male, 17mm collar</t>
        </is>
      </c>
      <c r="D187" s="29" t="n">
        <v>0.09</v>
      </c>
      <c r="E187" s="23" t="inlineStr">
        <is>
          <t>ESTIMATE - catalogue gives dimensions only (p.68-71)</t>
        </is>
      </c>
      <c r="F187" s="24" t="n">
        <v>18.967696</v>
      </c>
      <c r="G187" s="24" t="n">
        <v>16.596734</v>
      </c>
      <c r="H187" s="24" t="n">
        <v>15.411253</v>
      </c>
      <c r="I187" s="26">
        <f>IF(F187="","",F187/$C$5*(1+$C$8)+$D187*(1+$C$7)*$C$6)</f>
        <v/>
      </c>
      <c r="J187" s="26">
        <f>IF(G187="","",G187/$C$5*(1+$C$8)+$D187*(1+$C$7)*$C$6)</f>
        <v/>
      </c>
      <c r="K187" s="26">
        <f>IF(H187="","",H187/$C$5*(1+$C$8)+$D187*(1+$C$7)*$C$6)</f>
        <v/>
      </c>
      <c r="L187" s="27">
        <f>IF(I187="","",ROUND(I187*(1+$C$9),2))</f>
        <v/>
      </c>
      <c r="M187" s="27">
        <f>IF(J187="","",ROUND(J187*(1+$C$9),2))</f>
        <v/>
      </c>
      <c r="N187" s="27">
        <f>IF(K187="","",ROUND(K187*(1+$C$9),2))</f>
        <v/>
      </c>
      <c r="O187" s="28">
        <f>TRIM(IF($B187="NOT ASSIGNED","No NW part no. ","")&amp;IFERROR(IF(INDEX(Conversion!$J$2:$J$500,MATCH($A187,Conversion!$B$2:$B$500,0))="Needs review","Conversion table: needs review. ",""),"")&amp;IF(LEFT($E187,8)="ESTIMATE","Weight estimated. ","")&amp;"")</f>
        <v/>
      </c>
    </row>
    <row r="188">
      <c r="A188" s="19" t="inlineStr">
        <is>
          <t>SWIFB13-C17-SP</t>
        </is>
      </c>
      <c r="B188" s="20">
        <f>IFERROR(INDEX(Conversion!$C$2:$C$500,MATCH($A188,Conversion!$B$2:$B$500,0)),"NOT ASSIGNED")</f>
        <v/>
      </c>
      <c r="C188" s="21" t="inlineStr">
        <is>
          <t>St.st. full bore swivelling hose tail, 13mm x 1/2" male, 17mm collar, inside hose protection spring.</t>
        </is>
      </c>
      <c r="D188" s="29" t="n">
        <v>0.13</v>
      </c>
      <c r="E188" s="23" t="inlineStr">
        <is>
          <t>ESTIMATE - catalogue gives dimensions only (p.68-71)</t>
        </is>
      </c>
      <c r="F188" s="24" t="n">
        <v>24.336224</v>
      </c>
      <c r="G188" s="24" t="n">
        <v>21.294196</v>
      </c>
      <c r="H188" s="24" t="n">
        <v>19.773182</v>
      </c>
      <c r="I188" s="26">
        <f>IF(F188="","",F188/$C$5*(1+$C$8)+$D188*(1+$C$7)*$C$6)</f>
        <v/>
      </c>
      <c r="J188" s="26">
        <f>IF(G188="","",G188/$C$5*(1+$C$8)+$D188*(1+$C$7)*$C$6)</f>
        <v/>
      </c>
      <c r="K188" s="26">
        <f>IF(H188="","",H188/$C$5*(1+$C$8)+$D188*(1+$C$7)*$C$6)</f>
        <v/>
      </c>
      <c r="L188" s="27">
        <f>IF(I188="","",ROUND(I188*(1+$C$9),2))</f>
        <v/>
      </c>
      <c r="M188" s="27">
        <f>IF(J188="","",ROUND(J188*(1+$C$9),2))</f>
        <v/>
      </c>
      <c r="N188" s="27">
        <f>IF(K188="","",ROUND(K188*(1+$C$9),2))</f>
        <v/>
      </c>
      <c r="O188" s="28">
        <f>TRIM(IF($B188="NOT ASSIGNED","No NW part no. ","")&amp;IFERROR(IF(INDEX(Conversion!$J$2:$J$500,MATCH($A188,Conversion!$B$2:$B$500,0))="Needs review","Conversion table: needs review. ",""),"")&amp;IF(LEFT($E188,8)="ESTIMATE","Weight estimated. ","")&amp;"")</f>
        <v/>
      </c>
    </row>
    <row r="189">
      <c r="A189" s="19" t="inlineStr">
        <is>
          <t>SWIFB13-C20</t>
        </is>
      </c>
      <c r="B189" s="20">
        <f>IFERROR(INDEX(Conversion!$C$2:$C$500,MATCH($A189,Conversion!$B$2:$B$500,0)),"NOT ASSIGNED")</f>
        <v/>
      </c>
      <c r="C189" s="21" t="inlineStr">
        <is>
          <t>St.st. full bore swivelling hose tail, 13mm x 1/2" male, 20mm collar</t>
        </is>
      </c>
      <c r="D189" s="29" t="n">
        <v>0.09</v>
      </c>
      <c r="E189" s="23" t="inlineStr">
        <is>
          <t>ESTIMATE - catalogue gives dimensions only (p.68-71)</t>
        </is>
      </c>
      <c r="F189" s="24" t="n">
        <v>18.967696</v>
      </c>
      <c r="G189" s="24" t="n">
        <v>16.596734</v>
      </c>
      <c r="H189" s="24" t="n">
        <v>15.411253</v>
      </c>
      <c r="I189" s="26">
        <f>IF(F189="","",F189/$C$5*(1+$C$8)+$D189*(1+$C$7)*$C$6)</f>
        <v/>
      </c>
      <c r="J189" s="26">
        <f>IF(G189="","",G189/$C$5*(1+$C$8)+$D189*(1+$C$7)*$C$6)</f>
        <v/>
      </c>
      <c r="K189" s="26">
        <f>IF(H189="","",H189/$C$5*(1+$C$8)+$D189*(1+$C$7)*$C$6)</f>
        <v/>
      </c>
      <c r="L189" s="27">
        <f>IF(I189="","",ROUND(I189*(1+$C$9),2))</f>
        <v/>
      </c>
      <c r="M189" s="27">
        <f>IF(J189="","",ROUND(J189*(1+$C$9),2))</f>
        <v/>
      </c>
      <c r="N189" s="27">
        <f>IF(K189="","",ROUND(K189*(1+$C$9),2))</f>
        <v/>
      </c>
      <c r="O189" s="28">
        <f>TRIM(IF($B189="NOT ASSIGNED","No NW part no. ","")&amp;IFERROR(IF(INDEX(Conversion!$J$2:$J$500,MATCH($A189,Conversion!$B$2:$B$500,0))="Needs review","Conversion table: needs review. ",""),"")&amp;IF(LEFT($E189,8)="ESTIMATE","Weight estimated. ","")&amp;"")</f>
        <v/>
      </c>
    </row>
    <row r="190">
      <c r="A190" s="19" t="inlineStr">
        <is>
          <t>SWIFB13-C20-SP</t>
        </is>
      </c>
      <c r="B190" s="20">
        <f>IFERROR(INDEX(Conversion!$C$2:$C$500,MATCH($A190,Conversion!$B$2:$B$500,0)),"NOT ASSIGNED")</f>
        <v/>
      </c>
      <c r="C190" s="21" t="inlineStr">
        <is>
          <t>St.st. full bore swivelling hose tail, 13mm x 1/2" male, 20mm collar, inside hose protection spring</t>
        </is>
      </c>
      <c r="D190" s="29" t="n">
        <v>0.13</v>
      </c>
      <c r="E190" s="23" t="inlineStr">
        <is>
          <t>ESTIMATE - catalogue gives dimensions only (p.68-71)</t>
        </is>
      </c>
      <c r="F190" s="24" t="n">
        <v>24.336224</v>
      </c>
      <c r="G190" s="24" t="n">
        <v>21.294196</v>
      </c>
      <c r="H190" s="24" t="n">
        <v>19.773182</v>
      </c>
      <c r="I190" s="26">
        <f>IF(F190="","",F190/$C$5*(1+$C$8)+$D190*(1+$C$7)*$C$6)</f>
        <v/>
      </c>
      <c r="J190" s="26">
        <f>IF(G190="","",G190/$C$5*(1+$C$8)+$D190*(1+$C$7)*$C$6)</f>
        <v/>
      </c>
      <c r="K190" s="26">
        <f>IF(H190="","",H190/$C$5*(1+$C$8)+$D190*(1+$C$7)*$C$6)</f>
        <v/>
      </c>
      <c r="L190" s="27">
        <f>IF(I190="","",ROUND(I190*(1+$C$9),2))</f>
        <v/>
      </c>
      <c r="M190" s="27">
        <f>IF(J190="","",ROUND(J190*(1+$C$9),2))</f>
        <v/>
      </c>
      <c r="N190" s="27">
        <f>IF(K190="","",ROUND(K190*(1+$C$9),2))</f>
        <v/>
      </c>
      <c r="O190" s="28">
        <f>TRIM(IF($B190="NOT ASSIGNED","No NW part no. ","")&amp;IFERROR(IF(INDEX(Conversion!$J$2:$J$500,MATCH($A190,Conversion!$B$2:$B$500,0))="Needs review","Conversion table: needs review. ",""),"")&amp;IF(LEFT($E190,8)="ESTIMATE","Weight estimated. ","")&amp;"")</f>
        <v/>
      </c>
    </row>
    <row r="191">
      <c r="A191" s="19" t="inlineStr">
        <is>
          <t>SWIFB16-C21</t>
        </is>
      </c>
      <c r="B191" s="20">
        <f>IFERROR(INDEX(Conversion!$C$2:$C$500,MATCH($A191,Conversion!$B$2:$B$500,0)),"NOT ASSIGNED")</f>
        <v/>
      </c>
      <c r="C191" s="21" t="inlineStr">
        <is>
          <t>St.st. full bore swivelling hose tail, 16mm x 1/2" male, 21mm collar</t>
        </is>
      </c>
      <c r="D191" s="29" t="n">
        <v>0.1</v>
      </c>
      <c r="E191" s="23" t="inlineStr">
        <is>
          <t>ESTIMATE - catalogue gives dimensions only (p.68-71)</t>
        </is>
      </c>
      <c r="F191" s="24" t="n">
        <v>18.967696</v>
      </c>
      <c r="G191" s="24" t="n">
        <v>16.596734</v>
      </c>
      <c r="H191" s="24" t="n">
        <v>15.411253</v>
      </c>
      <c r="I191" s="26">
        <f>IF(F191="","",F191/$C$5*(1+$C$8)+$D191*(1+$C$7)*$C$6)</f>
        <v/>
      </c>
      <c r="J191" s="26">
        <f>IF(G191="","",G191/$C$5*(1+$C$8)+$D191*(1+$C$7)*$C$6)</f>
        <v/>
      </c>
      <c r="K191" s="26">
        <f>IF(H191="","",H191/$C$5*(1+$C$8)+$D191*(1+$C$7)*$C$6)</f>
        <v/>
      </c>
      <c r="L191" s="27">
        <f>IF(I191="","",ROUND(I191*(1+$C$9),2))</f>
        <v/>
      </c>
      <c r="M191" s="27">
        <f>IF(J191="","",ROUND(J191*(1+$C$9),2))</f>
        <v/>
      </c>
      <c r="N191" s="27">
        <f>IF(K191="","",ROUND(K191*(1+$C$9),2))</f>
        <v/>
      </c>
      <c r="O191" s="28">
        <f>TRIM(IF($B191="NOT ASSIGNED","No NW part no. ","")&amp;IFERROR(IF(INDEX(Conversion!$J$2:$J$500,MATCH($A191,Conversion!$B$2:$B$500,0))="Needs review","Conversion table: needs review. ",""),"")&amp;IF(LEFT($E191,8)="ESTIMATE","Weight estimated. ","")&amp;"")</f>
        <v/>
      </c>
    </row>
    <row r="192">
      <c r="A192" s="19" t="inlineStr">
        <is>
          <t>SWIFB16-C21-SP</t>
        </is>
      </c>
      <c r="B192" s="20">
        <f>IFERROR(INDEX(Conversion!$C$2:$C$500,MATCH($A192,Conversion!$B$2:$B$500,0)),"NOT ASSIGNED")</f>
        <v/>
      </c>
      <c r="C192" s="21" t="inlineStr">
        <is>
          <t>St.st. full bore swivelling hose tail, 16mm x 1/2" male, 21mm collar, inside hose protection spring</t>
        </is>
      </c>
      <c r="D192" s="29" t="n">
        <v>0.14</v>
      </c>
      <c r="E192" s="23" t="inlineStr">
        <is>
          <t>ESTIMATE - catalogue gives dimensions only (p.68-71)</t>
        </is>
      </c>
      <c r="F192" s="24" t="n">
        <v>24.336224</v>
      </c>
      <c r="G192" s="24" t="n">
        <v>21.294196</v>
      </c>
      <c r="H192" s="24" t="n">
        <v>19.773182</v>
      </c>
      <c r="I192" s="26">
        <f>IF(F192="","",F192/$C$5*(1+$C$8)+$D192*(1+$C$7)*$C$6)</f>
        <v/>
      </c>
      <c r="J192" s="26">
        <f>IF(G192="","",G192/$C$5*(1+$C$8)+$D192*(1+$C$7)*$C$6)</f>
        <v/>
      </c>
      <c r="K192" s="26">
        <f>IF(H192="","",H192/$C$5*(1+$C$8)+$D192*(1+$C$7)*$C$6)</f>
        <v/>
      </c>
      <c r="L192" s="27">
        <f>IF(I192="","",ROUND(I192*(1+$C$9),2))</f>
        <v/>
      </c>
      <c r="M192" s="27">
        <f>IF(J192="","",ROUND(J192*(1+$C$9),2))</f>
        <v/>
      </c>
      <c r="N192" s="27">
        <f>IF(K192="","",ROUND(K192*(1+$C$9),2))</f>
        <v/>
      </c>
      <c r="O192" s="28">
        <f>TRIM(IF($B192="NOT ASSIGNED","No NW part no. ","")&amp;IFERROR(IF(INDEX(Conversion!$J$2:$J$500,MATCH($A192,Conversion!$B$2:$B$500,0))="Needs review","Conversion table: needs review. ",""),"")&amp;IF(LEFT($E192,8)="ESTIMATE","Weight estimated. ","")&amp;"")</f>
        <v/>
      </c>
    </row>
    <row r="193">
      <c r="A193" s="19" t="inlineStr">
        <is>
          <t>SWIFB19-C24</t>
        </is>
      </c>
      <c r="B193" s="20">
        <f>IFERROR(INDEX(Conversion!$C$2:$C$500,MATCH($A193,Conversion!$B$2:$B$500,0)),"NOT ASSIGNED")</f>
        <v/>
      </c>
      <c r="C193" s="21" t="inlineStr">
        <is>
          <t>St.st. full bore swivelling hose tail, 19mm x 1/2" male, 24mm collar</t>
        </is>
      </c>
      <c r="D193" s="29" t="n">
        <v>0.12</v>
      </c>
      <c r="E193" s="23" t="inlineStr">
        <is>
          <t>ESTIMATE - catalogue gives dimensions only (p.68-71)</t>
        </is>
      </c>
      <c r="F193" s="24" t="n">
        <v>21.3004</v>
      </c>
      <c r="G193" s="24" t="n">
        <v>18.63785</v>
      </c>
      <c r="H193" s="24" t="n">
        <v>17.306575</v>
      </c>
      <c r="I193" s="26">
        <f>IF(F193="","",F193/$C$5*(1+$C$8)+$D193*(1+$C$7)*$C$6)</f>
        <v/>
      </c>
      <c r="J193" s="26">
        <f>IF(G193="","",G193/$C$5*(1+$C$8)+$D193*(1+$C$7)*$C$6)</f>
        <v/>
      </c>
      <c r="K193" s="26">
        <f>IF(H193="","",H193/$C$5*(1+$C$8)+$D193*(1+$C$7)*$C$6)</f>
        <v/>
      </c>
      <c r="L193" s="27">
        <f>IF(I193="","",ROUND(I193*(1+$C$9),2))</f>
        <v/>
      </c>
      <c r="M193" s="27">
        <f>IF(J193="","",ROUND(J193*(1+$C$9),2))</f>
        <v/>
      </c>
      <c r="N193" s="27">
        <f>IF(K193="","",ROUND(K193*(1+$C$9),2))</f>
        <v/>
      </c>
      <c r="O193" s="28">
        <f>TRIM(IF($B193="NOT ASSIGNED","No NW part no. ","")&amp;IFERROR(IF(INDEX(Conversion!$J$2:$J$500,MATCH($A193,Conversion!$B$2:$B$500,0))="Needs review","Conversion table: needs review. ",""),"")&amp;IF(LEFT($E193,8)="ESTIMATE","Weight estimated. ","")&amp;"")</f>
        <v/>
      </c>
    </row>
    <row r="194">
      <c r="A194" s="19" t="inlineStr">
        <is>
          <t>SWIFB19-C24-34</t>
        </is>
      </c>
      <c r="B194" s="20">
        <f>IFERROR(INDEX(Conversion!$C$2:$C$500,MATCH($A194,Conversion!$B$2:$B$500,0)),"NOT ASSIGNED")</f>
        <v/>
      </c>
      <c r="C194" s="21" t="inlineStr">
        <is>
          <t>St.st. full bore swivelling hose tail, 19mm x 3/4" male, 24mm collar</t>
        </is>
      </c>
      <c r="D194" s="29" t="n">
        <v>0.13</v>
      </c>
      <c r="E194" s="23" t="inlineStr">
        <is>
          <t>ESTIMATE - catalogue gives dimensions only (p.68-71)</t>
        </is>
      </c>
      <c r="F194" s="24" t="n">
        <v>22.317856</v>
      </c>
      <c r="G194" s="24" t="n">
        <v>19.528124</v>
      </c>
      <c r="H194" s="24" t="n">
        <v>18.133258</v>
      </c>
      <c r="I194" s="26">
        <f>IF(F194="","",F194/$C$5*(1+$C$8)+$D194*(1+$C$7)*$C$6)</f>
        <v/>
      </c>
      <c r="J194" s="26">
        <f>IF(G194="","",G194/$C$5*(1+$C$8)+$D194*(1+$C$7)*$C$6)</f>
        <v/>
      </c>
      <c r="K194" s="26">
        <f>IF(H194="","",H194/$C$5*(1+$C$8)+$D194*(1+$C$7)*$C$6)</f>
        <v/>
      </c>
      <c r="L194" s="27">
        <f>IF(I194="","",ROUND(I194*(1+$C$9),2))</f>
        <v/>
      </c>
      <c r="M194" s="27">
        <f>IF(J194="","",ROUND(J194*(1+$C$9),2))</f>
        <v/>
      </c>
      <c r="N194" s="27">
        <f>IF(K194="","",ROUND(K194*(1+$C$9),2))</f>
        <v/>
      </c>
      <c r="O194" s="28">
        <f>TRIM(IF($B194="NOT ASSIGNED","No NW part no. ","")&amp;IFERROR(IF(INDEX(Conversion!$J$2:$J$500,MATCH($A194,Conversion!$B$2:$B$500,0))="Needs review","Conversion table: needs review. ",""),"")&amp;IF(LEFT($E194,8)="ESTIMATE","Weight estimated. ","")&amp;"")</f>
        <v/>
      </c>
    </row>
    <row r="195">
      <c r="A195" s="19" t="inlineStr">
        <is>
          <t>SWIFB19-C24-34S</t>
        </is>
      </c>
      <c r="B195" s="20">
        <f>IFERROR(INDEX(Conversion!$C$2:$C$500,MATCH($A195,Conversion!$B$2:$B$500,0)),"NOT ASSIGNED")</f>
        <v/>
      </c>
      <c r="C195" s="21" t="inlineStr">
        <is>
          <t>St.st. full bore swivelling hose tail, 19mm x 3/4" male, 24mm collar, inside hose protection spring</t>
        </is>
      </c>
      <c r="D195" s="29" t="n">
        <v>0.17</v>
      </c>
      <c r="E195" s="23" t="inlineStr">
        <is>
          <t>ESTIMATE - catalogue gives dimensions only (p.68-71)</t>
        </is>
      </c>
      <c r="F195" s="24" t="n">
        <v>33.26</v>
      </c>
      <c r="G195" s="25" t="n"/>
      <c r="H195" s="25" t="n"/>
      <c r="I195" s="26">
        <f>IF(F195="","",F195/$C$5*(1+$C$8)+$D195*(1+$C$7)*$C$6)</f>
        <v/>
      </c>
      <c r="J195" s="26">
        <f>IF(G195="","",G195/$C$5*(1+$C$8)+$D195*(1+$C$7)*$C$6)</f>
        <v/>
      </c>
      <c r="K195" s="26">
        <f>IF(H195="","",H195/$C$5*(1+$C$8)+$D195*(1+$C$7)*$C$6)</f>
        <v/>
      </c>
      <c r="L195" s="27">
        <f>IF(I195="","",ROUND(I195*(1+$C$9),2))</f>
        <v/>
      </c>
      <c r="M195" s="27">
        <f>IF(J195="","",ROUND(J195*(1+$C$9),2))</f>
        <v/>
      </c>
      <c r="N195" s="27">
        <f>IF(K195="","",ROUND(K195*(1+$C$9),2))</f>
        <v/>
      </c>
      <c r="O195" s="28">
        <f>TRIM(IF($B195="NOT ASSIGNED","No NW part no. ","")&amp;IFERROR(IF(INDEX(Conversion!$J$2:$J$500,MATCH($A195,Conversion!$B$2:$B$500,0))="Needs review","Conversion table: needs review. ",""),"")&amp;IF(LEFT($E195,8)="ESTIMATE","Weight estimated. ","")&amp;"")</f>
        <v/>
      </c>
    </row>
    <row r="196">
      <c r="A196" s="19" t="inlineStr">
        <is>
          <t>SWIFB19-C24-SP</t>
        </is>
      </c>
      <c r="B196" s="20">
        <f>IFERROR(INDEX(Conversion!$C$2:$C$500,MATCH($A196,Conversion!$B$2:$B$500,0)),"NOT ASSIGNED")</f>
        <v/>
      </c>
      <c r="C196" s="21" t="inlineStr">
        <is>
          <t>St.st. full bore swivelling hose tail, 19mm x 1/2" male, 24mm collar, inside hose protection spring</t>
        </is>
      </c>
      <c r="D196" s="29" t="n">
        <v>0.16</v>
      </c>
      <c r="E196" s="23" t="inlineStr">
        <is>
          <t>ESTIMATE - catalogue gives dimensions only (p.68-71)</t>
        </is>
      </c>
      <c r="F196" s="24" t="n">
        <v>25.35368</v>
      </c>
      <c r="G196" s="24" t="n">
        <v>22.18447</v>
      </c>
      <c r="H196" s="24" t="n">
        <v>20.599865</v>
      </c>
      <c r="I196" s="26">
        <f>IF(F196="","",F196/$C$5*(1+$C$8)+$D196*(1+$C$7)*$C$6)</f>
        <v/>
      </c>
      <c r="J196" s="26">
        <f>IF(G196="","",G196/$C$5*(1+$C$8)+$D196*(1+$C$7)*$C$6)</f>
        <v/>
      </c>
      <c r="K196" s="26">
        <f>IF(H196="","",H196/$C$5*(1+$C$8)+$D196*(1+$C$7)*$C$6)</f>
        <v/>
      </c>
      <c r="L196" s="27">
        <f>IF(I196="","",ROUND(I196*(1+$C$9),2))</f>
        <v/>
      </c>
      <c r="M196" s="27">
        <f>IF(J196="","",ROUND(J196*(1+$C$9),2))</f>
        <v/>
      </c>
      <c r="N196" s="27">
        <f>IF(K196="","",ROUND(K196*(1+$C$9),2))</f>
        <v/>
      </c>
      <c r="O196" s="28">
        <f>TRIM(IF($B196="NOT ASSIGNED","No NW part no. ","")&amp;IFERROR(IF(INDEX(Conversion!$J$2:$J$500,MATCH($A196,Conversion!$B$2:$B$500,0))="Needs review","Conversion table: needs review. ",""),"")&amp;IF(LEFT($E196,8)="ESTIMATE","Weight estimated. ","")&amp;"")</f>
        <v/>
      </c>
    </row>
    <row r="198">
      <c r="A198" s="14" t="inlineStr">
        <is>
          <t>Hose tails</t>
        </is>
      </c>
      <c r="B198" s="15" t="n"/>
      <c r="C198" s="15" t="n"/>
      <c r="D198" s="15" t="n"/>
      <c r="E198" s="15" t="n"/>
      <c r="F198" s="15" t="n"/>
      <c r="G198" s="15" t="n"/>
      <c r="H198" s="15" t="n"/>
      <c r="I198" s="15" t="n"/>
      <c r="J198" s="15" t="n"/>
      <c r="K198" s="15" t="n"/>
      <c r="L198" s="15" t="n"/>
      <c r="M198" s="15" t="n"/>
      <c r="N198" s="15" t="n"/>
      <c r="O198" s="15" t="n"/>
    </row>
    <row r="200">
      <c r="A200" s="16" t="inlineStr">
        <is>
          <t>Qty break</t>
        </is>
      </c>
      <c r="B200" s="17" t="n"/>
      <c r="C200" s="17" t="n"/>
      <c r="D200" s="17" t="n"/>
      <c r="E200" s="17" t="n"/>
      <c r="F200" s="18" t="inlineStr">
        <is>
          <t>&lt; 10 pcs</t>
        </is>
      </c>
      <c r="G200" s="18" t="inlineStr">
        <is>
          <t>≥ 10 pcs</t>
        </is>
      </c>
      <c r="H200" s="18" t="inlineStr">
        <is>
          <t>≥ 50 pcs</t>
        </is>
      </c>
      <c r="I200" s="18" t="inlineStr">
        <is>
          <t>&lt; 10 pcs</t>
        </is>
      </c>
      <c r="J200" s="18" t="inlineStr">
        <is>
          <t>≥ 10 pcs</t>
        </is>
      </c>
      <c r="K200" s="18" t="inlineStr">
        <is>
          <t>≥ 50 pcs</t>
        </is>
      </c>
      <c r="L200" s="18" t="inlineStr">
        <is>
          <t>&lt; 10 pcs</t>
        </is>
      </c>
      <c r="M200" s="18" t="inlineStr">
        <is>
          <t>≥ 10 pcs</t>
        </is>
      </c>
      <c r="N200" s="18" t="inlineStr">
        <is>
          <t>≥ 50 pcs</t>
        </is>
      </c>
      <c r="O200" s="17" t="n"/>
    </row>
    <row r="201">
      <c r="A201" s="30" t="inlineStr">
        <is>
          <t>Brass</t>
        </is>
      </c>
      <c r="B201" s="31" t="n"/>
      <c r="C201" s="31" t="n"/>
      <c r="D201" s="31" t="n"/>
      <c r="E201" s="31" t="n"/>
      <c r="F201" s="31" t="n"/>
      <c r="G201" s="31" t="n"/>
      <c r="H201" s="31" t="n"/>
      <c r="I201" s="31" t="n"/>
      <c r="J201" s="31" t="n"/>
      <c r="K201" s="31" t="n"/>
      <c r="L201" s="31" t="n"/>
      <c r="M201" s="31" t="n"/>
      <c r="N201" s="31" t="n"/>
      <c r="O201" s="31" t="n"/>
    </row>
    <row r="203">
      <c r="A203" s="19" t="inlineStr">
        <is>
          <t>MESS013</t>
        </is>
      </c>
      <c r="B203" s="20">
        <f>IFERROR(INDEX(Conversion!$C$2:$C$500,MATCH($A203,Conversion!$B$2:$B$500,0)),"NOT ASSIGNED")</f>
        <v/>
      </c>
      <c r="C203" s="21" t="inlineStr">
        <is>
          <t>Brass hose tail, 1/2" male x 13mm</t>
        </is>
      </c>
      <c r="D203" s="29" t="n">
        <v>0.03</v>
      </c>
      <c r="E203" s="23" t="inlineStr">
        <is>
          <t>ESTIMATE - catalogue gives dimensions only (p.68-71)</t>
        </is>
      </c>
      <c r="F203" s="24" t="n">
        <v>2.076272</v>
      </c>
      <c r="G203" s="24" t="n">
        <v>1.816738</v>
      </c>
      <c r="H203" s="24" t="n">
        <v>1.686971</v>
      </c>
      <c r="I203" s="26">
        <f>IF(F203="","",F203/$C$5*(1+$C$8)+$D203*(1+$C$7)*$C$6)</f>
        <v/>
      </c>
      <c r="J203" s="26">
        <f>IF(G203="","",G203/$C$5*(1+$C$8)+$D203*(1+$C$7)*$C$6)</f>
        <v/>
      </c>
      <c r="K203" s="26">
        <f>IF(H203="","",H203/$C$5*(1+$C$8)+$D203*(1+$C$7)*$C$6)</f>
        <v/>
      </c>
      <c r="L203" s="27">
        <f>IF(I203="","",ROUND(I203*(1+$C$9),2))</f>
        <v/>
      </c>
      <c r="M203" s="27">
        <f>IF(J203="","",ROUND(J203*(1+$C$9),2))</f>
        <v/>
      </c>
      <c r="N203" s="27">
        <f>IF(K203="","",ROUND(K203*(1+$C$9),2))</f>
        <v/>
      </c>
      <c r="O203" s="28">
        <f>TRIM(IF($B203="NOT ASSIGNED","No NW part no. ","")&amp;IFERROR(IF(INDEX(Conversion!$J$2:$J$500,MATCH($A203,Conversion!$B$2:$B$500,0))="Needs review","Conversion table: needs review. ",""),"")&amp;IF(LEFT($E203,8)="ESTIMATE","Weight estimated. ","")&amp;"")</f>
        <v/>
      </c>
    </row>
    <row r="204">
      <c r="A204" s="19" t="inlineStr">
        <is>
          <t>MESS019</t>
        </is>
      </c>
      <c r="B204" s="20">
        <f>IFERROR(INDEX(Conversion!$C$2:$C$500,MATCH($A204,Conversion!$B$2:$B$500,0)),"NOT ASSIGNED")</f>
        <v/>
      </c>
      <c r="C204" s="21" t="inlineStr">
        <is>
          <t>Brass hose tail, 1/2" male x 19mm</t>
        </is>
      </c>
      <c r="D204" s="29" t="n">
        <v>0.04</v>
      </c>
      <c r="E204" s="23" t="inlineStr">
        <is>
          <t>ESTIMATE - catalogue gives dimensions only (p.68-71)</t>
        </is>
      </c>
      <c r="F204" s="24" t="n">
        <v>2.142448</v>
      </c>
      <c r="G204" s="24" t="n">
        <v>1.874642</v>
      </c>
      <c r="H204" s="24" t="n">
        <v>1.740739</v>
      </c>
      <c r="I204" s="26">
        <f>IF(F204="","",F204/$C$5*(1+$C$8)+$D204*(1+$C$7)*$C$6)</f>
        <v/>
      </c>
      <c r="J204" s="26">
        <f>IF(G204="","",G204/$C$5*(1+$C$8)+$D204*(1+$C$7)*$C$6)</f>
        <v/>
      </c>
      <c r="K204" s="26">
        <f>IF(H204="","",H204/$C$5*(1+$C$8)+$D204*(1+$C$7)*$C$6)</f>
        <v/>
      </c>
      <c r="L204" s="27">
        <f>IF(I204="","",ROUND(I204*(1+$C$9),2))</f>
        <v/>
      </c>
      <c r="M204" s="27">
        <f>IF(J204="","",ROUND(J204*(1+$C$9),2))</f>
        <v/>
      </c>
      <c r="N204" s="27">
        <f>IF(K204="","",ROUND(K204*(1+$C$9),2))</f>
        <v/>
      </c>
      <c r="O204" s="28">
        <f>TRIM(IF($B204="NOT ASSIGNED","No NW part no. ","")&amp;IFERROR(IF(INDEX(Conversion!$J$2:$J$500,MATCH($A204,Conversion!$B$2:$B$500,0))="Needs review","Conversion table: needs review. ",""),"")&amp;IF(LEFT($E204,8)="ESTIMATE","Weight estimated. ","")&amp;"")</f>
        <v/>
      </c>
    </row>
    <row r="205">
      <c r="A205" s="19" t="inlineStr">
        <is>
          <t>MESS025</t>
        </is>
      </c>
      <c r="B205" s="20">
        <f>IFERROR(INDEX(Conversion!$C$2:$C$500,MATCH($A205,Conversion!$B$2:$B$500,0)),"NOT ASSIGNED")</f>
        <v/>
      </c>
      <c r="C205" s="21" t="inlineStr">
        <is>
          <t>Brass hose tail, 1/2" male x 25mm</t>
        </is>
      </c>
      <c r="D205" s="29" t="n">
        <v>0.06</v>
      </c>
      <c r="E205" s="23" t="inlineStr">
        <is>
          <t>ESTIMATE - catalogue gives dimensions only (p.68-71)</t>
        </is>
      </c>
      <c r="F205" s="24" t="n">
        <v>7.750864</v>
      </c>
      <c r="G205" s="24" t="n">
        <v>6.782006</v>
      </c>
      <c r="H205" s="24" t="n">
        <v>6.297577</v>
      </c>
      <c r="I205" s="26">
        <f>IF(F205="","",F205/$C$5*(1+$C$8)+$D205*(1+$C$7)*$C$6)</f>
        <v/>
      </c>
      <c r="J205" s="26">
        <f>IF(G205="","",G205/$C$5*(1+$C$8)+$D205*(1+$C$7)*$C$6)</f>
        <v/>
      </c>
      <c r="K205" s="26">
        <f>IF(H205="","",H205/$C$5*(1+$C$8)+$D205*(1+$C$7)*$C$6)</f>
        <v/>
      </c>
      <c r="L205" s="27">
        <f>IF(I205="","",ROUND(I205*(1+$C$9),2))</f>
        <v/>
      </c>
      <c r="M205" s="27">
        <f>IF(J205="","",ROUND(J205*(1+$C$9),2))</f>
        <v/>
      </c>
      <c r="N205" s="27">
        <f>IF(K205="","",ROUND(K205*(1+$C$9),2))</f>
        <v/>
      </c>
      <c r="O205" s="28">
        <f>TRIM(IF($B205="NOT ASSIGNED","No NW part no. ","")&amp;IFERROR(IF(INDEX(Conversion!$J$2:$J$500,MATCH($A205,Conversion!$B$2:$B$500,0))="Needs review","Conversion table: needs review. ",""),"")&amp;IF(LEFT($E205,8)="ESTIMATE","Weight estimated. ","")&amp;"")</f>
        <v/>
      </c>
    </row>
    <row r="207">
      <c r="A207" s="30" t="inlineStr">
        <is>
          <t>Chrome plated brass</t>
        </is>
      </c>
      <c r="B207" s="31" t="n"/>
      <c r="C207" s="31" t="n"/>
      <c r="D207" s="31" t="n"/>
      <c r="E207" s="31" t="n"/>
      <c r="F207" s="31" t="n"/>
      <c r="G207" s="31" t="n"/>
      <c r="H207" s="31" t="n"/>
      <c r="I207" s="31" t="n"/>
      <c r="J207" s="31" t="n"/>
      <c r="K207" s="31" t="n"/>
      <c r="L207" s="31" t="n"/>
      <c r="M207" s="31" t="n"/>
      <c r="N207" s="31" t="n"/>
      <c r="O207" s="31" t="n"/>
    </row>
    <row r="209">
      <c r="A209" s="19" t="inlineStr">
        <is>
          <t>MESC013</t>
        </is>
      </c>
      <c r="B209" s="20">
        <f>IFERROR(INDEX(Conversion!$C$2:$C$500,MATCH($A209,Conversion!$B$2:$B$500,0)),"NOT ASSIGNED")</f>
        <v/>
      </c>
      <c r="C209" s="21" t="inlineStr">
        <is>
          <t>Chrome plated brass hose tail, 1/2" BSP male with O-ring x 13mm</t>
        </is>
      </c>
      <c r="D209" s="29" t="n">
        <v>0.035</v>
      </c>
      <c r="E209" s="23" t="inlineStr">
        <is>
          <t>ESTIMATE - catalogue gives dimensions only (p.68-71)</t>
        </is>
      </c>
      <c r="F209" s="24" t="n">
        <v>3.747216</v>
      </c>
      <c r="G209" s="24" t="n">
        <v>3.278814</v>
      </c>
      <c r="H209" s="24" t="n">
        <v>3.044613</v>
      </c>
      <c r="I209" s="26">
        <f>IF(F209="","",F209/$C$5*(1+$C$8)+$D209*(1+$C$7)*$C$6)</f>
        <v/>
      </c>
      <c r="J209" s="26">
        <f>IF(G209="","",G209/$C$5*(1+$C$8)+$D209*(1+$C$7)*$C$6)</f>
        <v/>
      </c>
      <c r="K209" s="26">
        <f>IF(H209="","",H209/$C$5*(1+$C$8)+$D209*(1+$C$7)*$C$6)</f>
        <v/>
      </c>
      <c r="L209" s="27">
        <f>IF(I209="","",ROUND(I209*(1+$C$9),2))</f>
        <v/>
      </c>
      <c r="M209" s="27">
        <f>IF(J209="","",ROUND(J209*(1+$C$9),2))</f>
        <v/>
      </c>
      <c r="N209" s="27">
        <f>IF(K209="","",ROUND(K209*(1+$C$9),2))</f>
        <v/>
      </c>
      <c r="O209" s="28">
        <f>TRIM(IF($B209="NOT ASSIGNED","No NW part no. ","")&amp;IFERROR(IF(INDEX(Conversion!$J$2:$J$500,MATCH($A209,Conversion!$B$2:$B$500,0))="Needs review","Conversion table: needs review. ",""),"")&amp;IF(LEFT($E209,8)="ESTIMATE","Weight estimated. ","")&amp;"")</f>
        <v/>
      </c>
    </row>
    <row r="210">
      <c r="A210" s="19" t="inlineStr">
        <is>
          <t>MESC016</t>
        </is>
      </c>
      <c r="B210" s="20">
        <f>IFERROR(INDEX(Conversion!$C$2:$C$500,MATCH($A210,Conversion!$B$2:$B$500,0)),"NOT ASSIGNED")</f>
        <v/>
      </c>
      <c r="C210" s="21" t="inlineStr">
        <is>
          <t>Chrome plated brass hose tail, 1/2" BSP male with O-ring x 16mm</t>
        </is>
      </c>
      <c r="D210" s="29" t="n">
        <v>0.04</v>
      </c>
      <c r="E210" s="23" t="inlineStr">
        <is>
          <t>ESTIMATE - catalogue gives dimensions only (p.68-71)</t>
        </is>
      </c>
      <c r="F210" s="24" t="n">
        <v>4.152544</v>
      </c>
      <c r="G210" s="24" t="n">
        <v>3.633476</v>
      </c>
      <c r="H210" s="24" t="n">
        <v>3.373942</v>
      </c>
      <c r="I210" s="26">
        <f>IF(F210="","",F210/$C$5*(1+$C$8)+$D210*(1+$C$7)*$C$6)</f>
        <v/>
      </c>
      <c r="J210" s="26">
        <f>IF(G210="","",G210/$C$5*(1+$C$8)+$D210*(1+$C$7)*$C$6)</f>
        <v/>
      </c>
      <c r="K210" s="26">
        <f>IF(H210="","",H210/$C$5*(1+$C$8)+$D210*(1+$C$7)*$C$6)</f>
        <v/>
      </c>
      <c r="L210" s="27">
        <f>IF(I210="","",ROUND(I210*(1+$C$9),2))</f>
        <v/>
      </c>
      <c r="M210" s="27">
        <f>IF(J210="","",ROUND(J210*(1+$C$9),2))</f>
        <v/>
      </c>
      <c r="N210" s="27">
        <f>IF(K210="","",ROUND(K210*(1+$C$9),2))</f>
        <v/>
      </c>
      <c r="O210" s="28">
        <f>TRIM(IF($B210="NOT ASSIGNED","No NW part no. ","")&amp;IFERROR(IF(INDEX(Conversion!$J$2:$J$500,MATCH($A210,Conversion!$B$2:$B$500,0))="Needs review","Conversion table: needs review. ",""),"")&amp;IF(LEFT($E210,8)="ESTIMATE","Weight estimated. ","")&amp;"")</f>
        <v/>
      </c>
    </row>
    <row r="211">
      <c r="A211" s="19" t="inlineStr">
        <is>
          <t>MESC019</t>
        </is>
      </c>
      <c r="B211" s="20">
        <f>IFERROR(INDEX(Conversion!$C$2:$C$500,MATCH($A211,Conversion!$B$2:$B$500,0)),"NOT ASSIGNED")</f>
        <v/>
      </c>
      <c r="C211" s="21" t="inlineStr">
        <is>
          <t>Chrome plated brass hose tail, 1/2" BSP male with O-ring x 19mm</t>
        </is>
      </c>
      <c r="D211" s="29" t="n">
        <v>0.045</v>
      </c>
      <c r="E211" s="23" t="inlineStr">
        <is>
          <t>ESTIMATE - catalogue gives dimensions only (p.68-71)</t>
        </is>
      </c>
      <c r="F211" s="24" t="n">
        <v>4.309712</v>
      </c>
      <c r="G211" s="24" t="n">
        <v>3.770998</v>
      </c>
      <c r="H211" s="24" t="n">
        <v>3.501641</v>
      </c>
      <c r="I211" s="26">
        <f>IF(F211="","",F211/$C$5*(1+$C$8)+$D211*(1+$C$7)*$C$6)</f>
        <v/>
      </c>
      <c r="J211" s="26">
        <f>IF(G211="","",G211/$C$5*(1+$C$8)+$D211*(1+$C$7)*$C$6)</f>
        <v/>
      </c>
      <c r="K211" s="26">
        <f>IF(H211="","",H211/$C$5*(1+$C$8)+$D211*(1+$C$7)*$C$6)</f>
        <v/>
      </c>
      <c r="L211" s="27">
        <f>IF(I211="","",ROUND(I211*(1+$C$9),2))</f>
        <v/>
      </c>
      <c r="M211" s="27">
        <f>IF(J211="","",ROUND(J211*(1+$C$9),2))</f>
        <v/>
      </c>
      <c r="N211" s="27">
        <f>IF(K211="","",ROUND(K211*(1+$C$9),2))</f>
        <v/>
      </c>
      <c r="O211" s="28">
        <f>TRIM(IF($B211="NOT ASSIGNED","No NW part no. ","")&amp;IFERROR(IF(INDEX(Conversion!$J$2:$J$500,MATCH($A211,Conversion!$B$2:$B$500,0))="Needs review","Conversion table: needs review. ",""),"")&amp;IF(LEFT($E211,8)="ESTIMATE","Weight estimated. ","")&amp;"")</f>
        <v/>
      </c>
    </row>
    <row r="213">
      <c r="A213" s="30" t="inlineStr">
        <is>
          <t>Stainless steel</t>
        </is>
      </c>
      <c r="B213" s="31" t="n"/>
      <c r="C213" s="31" t="n"/>
      <c r="D213" s="31" t="n"/>
      <c r="E213" s="31" t="n"/>
      <c r="F213" s="31" t="n"/>
      <c r="G213" s="31" t="n"/>
      <c r="H213" s="31" t="n"/>
      <c r="I213" s="31" t="n"/>
      <c r="J213" s="31" t="n"/>
      <c r="K213" s="31" t="n"/>
      <c r="L213" s="31" t="n"/>
      <c r="M213" s="31" t="n"/>
      <c r="N213" s="31" t="n"/>
      <c r="O213" s="31" t="n"/>
    </row>
    <row r="215">
      <c r="A215" s="19" t="inlineStr">
        <is>
          <t>RVST013-C17</t>
        </is>
      </c>
      <c r="B215" s="20">
        <f>IFERROR(INDEX(Conversion!$C$2:$C$500,MATCH($A215,Conversion!$B$2:$B$500,0)),"NOT ASSIGNED")</f>
        <v/>
      </c>
      <c r="C215" s="21" t="inlineStr">
        <is>
          <t>St.st. hose tail, 1/2" male x 13mm, 17mm collar</t>
        </is>
      </c>
      <c r="D215" s="29" t="n">
        <v>0.04</v>
      </c>
      <c r="E215" s="23" t="inlineStr">
        <is>
          <t>ESTIMATE - catalogue gives dimensions only (p.68-71)</t>
        </is>
      </c>
      <c r="F215" s="24" t="n">
        <v>7.69296</v>
      </c>
      <c r="G215" s="24" t="n">
        <v>6.73134</v>
      </c>
      <c r="H215" s="24" t="n">
        <v>6.25053</v>
      </c>
      <c r="I215" s="26">
        <f>IF(F215="","",F215/$C$5*(1+$C$8)+$D215*(1+$C$7)*$C$6)</f>
        <v/>
      </c>
      <c r="J215" s="26">
        <f>IF(G215="","",G215/$C$5*(1+$C$8)+$D215*(1+$C$7)*$C$6)</f>
        <v/>
      </c>
      <c r="K215" s="26">
        <f>IF(H215="","",H215/$C$5*(1+$C$8)+$D215*(1+$C$7)*$C$6)</f>
        <v/>
      </c>
      <c r="L215" s="27">
        <f>IF(I215="","",ROUND(I215*(1+$C$9),2))</f>
        <v/>
      </c>
      <c r="M215" s="27">
        <f>IF(J215="","",ROUND(J215*(1+$C$9),2))</f>
        <v/>
      </c>
      <c r="N215" s="27">
        <f>IF(K215="","",ROUND(K215*(1+$C$9),2))</f>
        <v/>
      </c>
      <c r="O215" s="28">
        <f>TRIM(IF($B215="NOT ASSIGNED","No NW part no. ","")&amp;IFERROR(IF(INDEX(Conversion!$J$2:$J$500,MATCH($A215,Conversion!$B$2:$B$500,0))="Needs review","Conversion table: needs review. ",""),"")&amp;IF(LEFT($E215,8)="ESTIMATE","Weight estimated. ","")&amp;"")</f>
        <v/>
      </c>
    </row>
    <row r="216">
      <c r="A216" s="19" t="inlineStr">
        <is>
          <t>RVST013-C17-SP</t>
        </is>
      </c>
      <c r="B216" s="20">
        <f>IFERROR(INDEX(Conversion!$C$2:$C$500,MATCH($A216,Conversion!$B$2:$B$500,0)),"NOT ASSIGNED")</f>
        <v/>
      </c>
      <c r="C216" s="21" t="inlineStr">
        <is>
          <t>St.st. hose tail, 1/2" male x 13mm, 17mm collar, inside hose protection spring</t>
        </is>
      </c>
      <c r="D216" s="29" t="n">
        <v>0.08</v>
      </c>
      <c r="E216" s="23" t="inlineStr">
        <is>
          <t>ESTIMATE - catalogue gives dimensions only (p.68-71)</t>
        </is>
      </c>
      <c r="F216" s="24" t="n">
        <v>13.946592</v>
      </c>
      <c r="G216" s="24" t="n">
        <v>12.203268</v>
      </c>
      <c r="H216" s="24" t="n">
        <v>11.331606</v>
      </c>
      <c r="I216" s="26">
        <f>IF(F216="","",F216/$C$5*(1+$C$8)+$D216*(1+$C$7)*$C$6)</f>
        <v/>
      </c>
      <c r="J216" s="26">
        <f>IF(G216="","",G216/$C$5*(1+$C$8)+$D216*(1+$C$7)*$C$6)</f>
        <v/>
      </c>
      <c r="K216" s="26">
        <f>IF(H216="","",H216/$C$5*(1+$C$8)+$D216*(1+$C$7)*$C$6)</f>
        <v/>
      </c>
      <c r="L216" s="27">
        <f>IF(I216="","",ROUND(I216*(1+$C$9),2))</f>
        <v/>
      </c>
      <c r="M216" s="27">
        <f>IF(J216="","",ROUND(J216*(1+$C$9),2))</f>
        <v/>
      </c>
      <c r="N216" s="27">
        <f>IF(K216="","",ROUND(K216*(1+$C$9),2))</f>
        <v/>
      </c>
      <c r="O216" s="28">
        <f>TRIM(IF($B216="NOT ASSIGNED","No NW part no. ","")&amp;IFERROR(IF(INDEX(Conversion!$J$2:$J$500,MATCH($A216,Conversion!$B$2:$B$500,0))="Needs review","Conversion table: needs review. ",""),"")&amp;IF(LEFT($E216,8)="ESTIMATE","Weight estimated. ","")&amp;"")</f>
        <v/>
      </c>
    </row>
    <row r="217">
      <c r="A217" s="19" t="inlineStr">
        <is>
          <t>RVST013-C20</t>
        </is>
      </c>
      <c r="B217" s="20">
        <f>IFERROR(INDEX(Conversion!$C$2:$C$500,MATCH($A217,Conversion!$B$2:$B$500,0)),"NOT ASSIGNED")</f>
        <v/>
      </c>
      <c r="C217" s="21" t="inlineStr">
        <is>
          <t>St.st. hose tail, 1/2" male x 13mm, 20mm collar</t>
        </is>
      </c>
      <c r="D217" s="29" t="n">
        <v>0.04</v>
      </c>
      <c r="E217" s="23" t="inlineStr">
        <is>
          <t>ESTIMATE - catalogue gives dimensions only (p.68-71)</t>
        </is>
      </c>
      <c r="F217" s="24" t="n">
        <v>7.69296</v>
      </c>
      <c r="G217" s="24" t="n">
        <v>6.73134</v>
      </c>
      <c r="H217" s="24" t="n">
        <v>6.25053</v>
      </c>
      <c r="I217" s="26">
        <f>IF(F217="","",F217/$C$5*(1+$C$8)+$D217*(1+$C$7)*$C$6)</f>
        <v/>
      </c>
      <c r="J217" s="26">
        <f>IF(G217="","",G217/$C$5*(1+$C$8)+$D217*(1+$C$7)*$C$6)</f>
        <v/>
      </c>
      <c r="K217" s="26">
        <f>IF(H217="","",H217/$C$5*(1+$C$8)+$D217*(1+$C$7)*$C$6)</f>
        <v/>
      </c>
      <c r="L217" s="27">
        <f>IF(I217="","",ROUND(I217*(1+$C$9),2))</f>
        <v/>
      </c>
      <c r="M217" s="27">
        <f>IF(J217="","",ROUND(J217*(1+$C$9),2))</f>
        <v/>
      </c>
      <c r="N217" s="27">
        <f>IF(K217="","",ROUND(K217*(1+$C$9),2))</f>
        <v/>
      </c>
      <c r="O217" s="28">
        <f>TRIM(IF($B217="NOT ASSIGNED","No NW part no. ","")&amp;IFERROR(IF(INDEX(Conversion!$J$2:$J$500,MATCH($A217,Conversion!$B$2:$B$500,0))="Needs review","Conversion table: needs review. ",""),"")&amp;IF(LEFT($E217,8)="ESTIMATE","Weight estimated. ","")&amp;"")</f>
        <v/>
      </c>
    </row>
    <row r="218">
      <c r="A218" s="19" t="inlineStr">
        <is>
          <t>RVST013-C20-12F</t>
        </is>
      </c>
      <c r="B218" s="20">
        <f>IFERROR(INDEX(Conversion!$C$2:$C$500,MATCH($A218,Conversion!$B$2:$B$500,0)),"NOT ASSIGNED")</f>
        <v/>
      </c>
      <c r="C218" s="21" t="inlineStr">
        <is>
          <t>St.st. hose tail, 1/2" female x 13mm, 20mm collar</t>
        </is>
      </c>
      <c r="D218" s="29" t="n">
        <v>0.05</v>
      </c>
      <c r="E218" s="23" t="inlineStr">
        <is>
          <t>ESTIMATE - catalogue gives dimensions only (p.68-71)</t>
        </is>
      </c>
      <c r="F218" s="24" t="n">
        <v>7.69296</v>
      </c>
      <c r="G218" s="24" t="n">
        <v>6.73134</v>
      </c>
      <c r="H218" s="24" t="n">
        <v>6.25053</v>
      </c>
      <c r="I218" s="26">
        <f>IF(F218="","",F218/$C$5*(1+$C$8)+$D218*(1+$C$7)*$C$6)</f>
        <v/>
      </c>
      <c r="J218" s="26">
        <f>IF(G218="","",G218/$C$5*(1+$C$8)+$D218*(1+$C$7)*$C$6)</f>
        <v/>
      </c>
      <c r="K218" s="26">
        <f>IF(H218="","",H218/$C$5*(1+$C$8)+$D218*(1+$C$7)*$C$6)</f>
        <v/>
      </c>
      <c r="L218" s="27">
        <f>IF(I218="","",ROUND(I218*(1+$C$9),2))</f>
        <v/>
      </c>
      <c r="M218" s="27">
        <f>IF(J218="","",ROUND(J218*(1+$C$9),2))</f>
        <v/>
      </c>
      <c r="N218" s="27">
        <f>IF(K218="","",ROUND(K218*(1+$C$9),2))</f>
        <v/>
      </c>
      <c r="O218" s="28">
        <f>TRIM(IF($B218="NOT ASSIGNED","No NW part no. ","")&amp;IFERROR(IF(INDEX(Conversion!$J$2:$J$500,MATCH($A218,Conversion!$B$2:$B$500,0))="Needs review","Conversion table: needs review. ",""),"")&amp;IF(LEFT($E218,8)="ESTIMATE","Weight estimated. ","")&amp;"")</f>
        <v/>
      </c>
    </row>
    <row r="219">
      <c r="A219" s="19" t="inlineStr">
        <is>
          <t>RVST013-C20-34F</t>
        </is>
      </c>
      <c r="B219" s="20">
        <f>IFERROR(INDEX(Conversion!$C$2:$C$500,MATCH($A219,Conversion!$B$2:$B$500,0)),"NOT ASSIGNED")</f>
        <v/>
      </c>
      <c r="C219" s="21" t="inlineStr">
        <is>
          <t>St.st. hose tail, 3/4" female x 13mm, 20mm collar</t>
        </is>
      </c>
      <c r="D219" s="29" t="n">
        <v>0.06</v>
      </c>
      <c r="E219" s="23" t="inlineStr">
        <is>
          <t>ESTIMATE - catalogue gives dimensions only (p.68-71)</t>
        </is>
      </c>
      <c r="F219" s="24" t="n">
        <v>7.69296</v>
      </c>
      <c r="G219" s="24" t="n">
        <v>6.73134</v>
      </c>
      <c r="H219" s="24" t="n">
        <v>6.25053</v>
      </c>
      <c r="I219" s="26">
        <f>IF(F219="","",F219/$C$5*(1+$C$8)+$D219*(1+$C$7)*$C$6)</f>
        <v/>
      </c>
      <c r="J219" s="26">
        <f>IF(G219="","",G219/$C$5*(1+$C$8)+$D219*(1+$C$7)*$C$6)</f>
        <v/>
      </c>
      <c r="K219" s="26">
        <f>IF(H219="","",H219/$C$5*(1+$C$8)+$D219*(1+$C$7)*$C$6)</f>
        <v/>
      </c>
      <c r="L219" s="27">
        <f>IF(I219="","",ROUND(I219*(1+$C$9),2))</f>
        <v/>
      </c>
      <c r="M219" s="27">
        <f>IF(J219="","",ROUND(J219*(1+$C$9),2))</f>
        <v/>
      </c>
      <c r="N219" s="27">
        <f>IF(K219="","",ROUND(K219*(1+$C$9),2))</f>
        <v/>
      </c>
      <c r="O219" s="28">
        <f>TRIM(IF($B219="NOT ASSIGNED","No NW part no. ","")&amp;IFERROR(IF(INDEX(Conversion!$J$2:$J$500,MATCH($A219,Conversion!$B$2:$B$500,0))="Needs review","Conversion table: needs review. ",""),"")&amp;IF(LEFT($E219,8)="ESTIMATE","Weight estimated. ","")&amp;"")</f>
        <v/>
      </c>
    </row>
    <row r="220">
      <c r="A220" s="19" t="inlineStr">
        <is>
          <t>RVST013-C20-SP</t>
        </is>
      </c>
      <c r="B220" s="20">
        <f>IFERROR(INDEX(Conversion!$C$2:$C$500,MATCH($A220,Conversion!$B$2:$B$500,0)),"NOT ASSIGNED")</f>
        <v/>
      </c>
      <c r="C220" s="21" t="inlineStr">
        <is>
          <t>St.st. hose tail, 1/2" male x 13mm, 20mm collar, inside hose protection spring</t>
        </is>
      </c>
      <c r="D220" s="29" t="n">
        <v>0.08</v>
      </c>
      <c r="E220" s="23" t="inlineStr">
        <is>
          <t>ESTIMATE - catalogue gives dimensions only (p.68-71)</t>
        </is>
      </c>
      <c r="F220" s="24" t="n">
        <v>13.946592</v>
      </c>
      <c r="G220" s="24" t="n">
        <v>12.203268</v>
      </c>
      <c r="H220" s="24" t="n">
        <v>11.331606</v>
      </c>
      <c r="I220" s="26">
        <f>IF(F220="","",F220/$C$5*(1+$C$8)+$D220*(1+$C$7)*$C$6)</f>
        <v/>
      </c>
      <c r="J220" s="26">
        <f>IF(G220="","",G220/$C$5*(1+$C$8)+$D220*(1+$C$7)*$C$6)</f>
        <v/>
      </c>
      <c r="K220" s="26">
        <f>IF(H220="","",H220/$C$5*(1+$C$8)+$D220*(1+$C$7)*$C$6)</f>
        <v/>
      </c>
      <c r="L220" s="27">
        <f>IF(I220="","",ROUND(I220*(1+$C$9),2))</f>
        <v/>
      </c>
      <c r="M220" s="27">
        <f>IF(J220="","",ROUND(J220*(1+$C$9),2))</f>
        <v/>
      </c>
      <c r="N220" s="27">
        <f>IF(K220="","",ROUND(K220*(1+$C$9),2))</f>
        <v/>
      </c>
      <c r="O220" s="28">
        <f>TRIM(IF($B220="NOT ASSIGNED","No NW part no. ","")&amp;IFERROR(IF(INDEX(Conversion!$J$2:$J$500,MATCH($A220,Conversion!$B$2:$B$500,0))="Needs review","Conversion table: needs review. ",""),"")&amp;IF(LEFT($E220,8)="ESTIMATE","Weight estimated. ","")&amp;"")</f>
        <v/>
      </c>
    </row>
    <row r="221">
      <c r="A221" s="19" t="inlineStr">
        <is>
          <t>RVST016-C21</t>
        </is>
      </c>
      <c r="B221" s="20">
        <f>IFERROR(INDEX(Conversion!$C$2:$C$500,MATCH($A221,Conversion!$B$2:$B$500,0)),"NOT ASSIGNED")</f>
        <v/>
      </c>
      <c r="C221" s="21" t="inlineStr">
        <is>
          <t>St.st. hose tail, 1/2" male x 16mm, 21mm collar</t>
        </is>
      </c>
      <c r="D221" s="29" t="n">
        <v>0.05</v>
      </c>
      <c r="E221" s="23" t="inlineStr">
        <is>
          <t>ESTIMATE - catalogue gives dimensions only (p.68-71)</t>
        </is>
      </c>
      <c r="F221" s="24" t="n">
        <v>7.69296</v>
      </c>
      <c r="G221" s="24" t="n">
        <v>6.73134</v>
      </c>
      <c r="H221" s="24" t="n">
        <v>6.25053</v>
      </c>
      <c r="I221" s="26">
        <f>IF(F221="","",F221/$C$5*(1+$C$8)+$D221*(1+$C$7)*$C$6)</f>
        <v/>
      </c>
      <c r="J221" s="26">
        <f>IF(G221="","",G221/$C$5*(1+$C$8)+$D221*(1+$C$7)*$C$6)</f>
        <v/>
      </c>
      <c r="K221" s="26">
        <f>IF(H221="","",H221/$C$5*(1+$C$8)+$D221*(1+$C$7)*$C$6)</f>
        <v/>
      </c>
      <c r="L221" s="27">
        <f>IF(I221="","",ROUND(I221*(1+$C$9),2))</f>
        <v/>
      </c>
      <c r="M221" s="27">
        <f>IF(J221="","",ROUND(J221*(1+$C$9),2))</f>
        <v/>
      </c>
      <c r="N221" s="27">
        <f>IF(K221="","",ROUND(K221*(1+$C$9),2))</f>
        <v/>
      </c>
      <c r="O221" s="28">
        <f>TRIM(IF($B221="NOT ASSIGNED","No NW part no. ","")&amp;IFERROR(IF(INDEX(Conversion!$J$2:$J$500,MATCH($A221,Conversion!$B$2:$B$500,0))="Needs review","Conversion table: needs review. ",""),"")&amp;IF(LEFT($E221,8)="ESTIMATE","Weight estimated. ","")&amp;"")</f>
        <v/>
      </c>
    </row>
    <row r="222">
      <c r="A222" s="19" t="inlineStr">
        <is>
          <t>RVST016-C21-SP</t>
        </is>
      </c>
      <c r="B222" s="20">
        <f>IFERROR(INDEX(Conversion!$C$2:$C$500,MATCH($A222,Conversion!$B$2:$B$500,0)),"NOT ASSIGNED")</f>
        <v/>
      </c>
      <c r="C222" s="21" t="inlineStr">
        <is>
          <t>St.st. hose tail, 1/2" male x 16mm, 21mm collar, inside hose protection spring</t>
        </is>
      </c>
      <c r="D222" s="29" t="n">
        <v>0.09</v>
      </c>
      <c r="E222" s="23" t="inlineStr">
        <is>
          <t>ESTIMATE - catalogue gives dimensions only (p.68-71)</t>
        </is>
      </c>
      <c r="F222" s="24" t="n">
        <v>13.946592</v>
      </c>
      <c r="G222" s="24" t="n">
        <v>12.203268</v>
      </c>
      <c r="H222" s="24" t="n">
        <v>11.331606</v>
      </c>
      <c r="I222" s="26">
        <f>IF(F222="","",F222/$C$5*(1+$C$8)+$D222*(1+$C$7)*$C$6)</f>
        <v/>
      </c>
      <c r="J222" s="26">
        <f>IF(G222="","",G222/$C$5*(1+$C$8)+$D222*(1+$C$7)*$C$6)</f>
        <v/>
      </c>
      <c r="K222" s="26">
        <f>IF(H222="","",H222/$C$5*(1+$C$8)+$D222*(1+$C$7)*$C$6)</f>
        <v/>
      </c>
      <c r="L222" s="27">
        <f>IF(I222="","",ROUND(I222*(1+$C$9),2))</f>
        <v/>
      </c>
      <c r="M222" s="27">
        <f>IF(J222="","",ROUND(J222*(1+$C$9),2))</f>
        <v/>
      </c>
      <c r="N222" s="27">
        <f>IF(K222="","",ROUND(K222*(1+$C$9),2))</f>
        <v/>
      </c>
      <c r="O222" s="28">
        <f>TRIM(IF($B222="NOT ASSIGNED","No NW part no. ","")&amp;IFERROR(IF(INDEX(Conversion!$J$2:$J$500,MATCH($A222,Conversion!$B$2:$B$500,0))="Needs review","Conversion table: needs review. ",""),"")&amp;IF(LEFT($E222,8)="ESTIMATE","Weight estimated. ","")&amp;"")</f>
        <v/>
      </c>
    </row>
    <row r="223">
      <c r="A223" s="19" t="inlineStr">
        <is>
          <t>RVST019-C24</t>
        </is>
      </c>
      <c r="B223" s="20">
        <f>IFERROR(INDEX(Conversion!$C$2:$C$500,MATCH($A223,Conversion!$B$2:$B$500,0)),"NOT ASSIGNED")</f>
        <v/>
      </c>
      <c r="C223" s="21" t="inlineStr">
        <is>
          <t>St.st. hose tail, 1/2" male x 19mm, 24mm collar</t>
        </is>
      </c>
      <c r="D223" s="29" t="n">
        <v>0.06</v>
      </c>
      <c r="E223" s="23" t="inlineStr">
        <is>
          <t>ESTIMATE - catalogue gives dimensions only (p.68-71)</t>
        </is>
      </c>
      <c r="F223" s="24" t="n">
        <v>8.114832</v>
      </c>
      <c r="G223" s="24" t="n">
        <v>7.100478</v>
      </c>
      <c r="H223" s="24" t="n">
        <v>6.593301</v>
      </c>
      <c r="I223" s="26">
        <f>IF(F223="","",F223/$C$5*(1+$C$8)+$D223*(1+$C$7)*$C$6)</f>
        <v/>
      </c>
      <c r="J223" s="26">
        <f>IF(G223="","",G223/$C$5*(1+$C$8)+$D223*(1+$C$7)*$C$6)</f>
        <v/>
      </c>
      <c r="K223" s="26">
        <f>IF(H223="","",H223/$C$5*(1+$C$8)+$D223*(1+$C$7)*$C$6)</f>
        <v/>
      </c>
      <c r="L223" s="27">
        <f>IF(I223="","",ROUND(I223*(1+$C$9),2))</f>
        <v/>
      </c>
      <c r="M223" s="27">
        <f>IF(J223="","",ROUND(J223*(1+$C$9),2))</f>
        <v/>
      </c>
      <c r="N223" s="27">
        <f>IF(K223="","",ROUND(K223*(1+$C$9),2))</f>
        <v/>
      </c>
      <c r="O223" s="28">
        <f>TRIM(IF($B223="NOT ASSIGNED","No NW part no. ","")&amp;IFERROR(IF(INDEX(Conversion!$J$2:$J$500,MATCH($A223,Conversion!$B$2:$B$500,0))="Needs review","Conversion table: needs review. ",""),"")&amp;IF(LEFT($E223,8)="ESTIMATE","Weight estimated. ","")&amp;"")</f>
        <v/>
      </c>
    </row>
    <row r="224">
      <c r="A224" s="19" t="inlineStr">
        <is>
          <t>RVST019-C24-SP</t>
        </is>
      </c>
      <c r="B224" s="20">
        <f>IFERROR(INDEX(Conversion!$C$2:$C$500,MATCH($A224,Conversion!$B$2:$B$500,0)),"NOT ASSIGNED")</f>
        <v/>
      </c>
      <c r="C224" s="21" t="inlineStr">
        <is>
          <t>St.st. hose tail, 1/2" male x 19mm, 24mm collar, inside hose protection spring</t>
        </is>
      </c>
      <c r="D224" s="29" t="n">
        <v>0.1</v>
      </c>
      <c r="E224" s="23" t="inlineStr">
        <is>
          <t>ESTIMATE - catalogue gives dimensions only (p.68-71)</t>
        </is>
      </c>
      <c r="F224" s="24" t="n">
        <v>13.946592</v>
      </c>
      <c r="G224" s="24" t="n">
        <v>12.203268</v>
      </c>
      <c r="H224" s="24" t="n">
        <v>11.331606</v>
      </c>
      <c r="I224" s="26">
        <f>IF(F224="","",F224/$C$5*(1+$C$8)+$D224*(1+$C$7)*$C$6)</f>
        <v/>
      </c>
      <c r="J224" s="26">
        <f>IF(G224="","",G224/$C$5*(1+$C$8)+$D224*(1+$C$7)*$C$6)</f>
        <v/>
      </c>
      <c r="K224" s="26">
        <f>IF(H224="","",H224/$C$5*(1+$C$8)+$D224*(1+$C$7)*$C$6)</f>
        <v/>
      </c>
      <c r="L224" s="27">
        <f>IF(I224="","",ROUND(I224*(1+$C$9),2))</f>
        <v/>
      </c>
      <c r="M224" s="27">
        <f>IF(J224="","",ROUND(J224*(1+$C$9),2))</f>
        <v/>
      </c>
      <c r="N224" s="27">
        <f>IF(K224="","",ROUND(K224*(1+$C$9),2))</f>
        <v/>
      </c>
      <c r="O224" s="28">
        <f>TRIM(IF($B224="NOT ASSIGNED","No NW part no. ","")&amp;IFERROR(IF(INDEX(Conversion!$J$2:$J$500,MATCH($A224,Conversion!$B$2:$B$500,0))="Needs review","Conversion table: needs review. ",""),"")&amp;IF(LEFT($E224,8)="ESTIMATE","Weight estimated. ","")&amp;"")</f>
        <v/>
      </c>
    </row>
    <row r="225">
      <c r="A225" s="19" t="inlineStr">
        <is>
          <t>RVST025</t>
        </is>
      </c>
      <c r="B225" s="20">
        <f>IFERROR(INDEX(Conversion!$C$2:$C$500,MATCH($A225,Conversion!$B$2:$B$500,0)),"NOT ASSIGNED")</f>
        <v/>
      </c>
      <c r="C225" s="21" t="inlineStr">
        <is>
          <t>St.st. hose tail, 1/2" male x 25mm</t>
        </is>
      </c>
      <c r="D225" s="29" t="n">
        <v>0.06</v>
      </c>
      <c r="E225" s="23" t="inlineStr">
        <is>
          <t>ESTIMATE - catalogue gives dimensions only (p.68-71)</t>
        </is>
      </c>
      <c r="F225" s="24" t="n">
        <v>14.815152</v>
      </c>
      <c r="G225" s="24" t="n">
        <v>12.963258</v>
      </c>
      <c r="H225" s="24" t="n">
        <v>12.037311</v>
      </c>
      <c r="I225" s="26">
        <f>IF(F225="","",F225/$C$5*(1+$C$8)+$D225*(1+$C$7)*$C$6)</f>
        <v/>
      </c>
      <c r="J225" s="26">
        <f>IF(G225="","",G225/$C$5*(1+$C$8)+$D225*(1+$C$7)*$C$6)</f>
        <v/>
      </c>
      <c r="K225" s="26">
        <f>IF(H225="","",H225/$C$5*(1+$C$8)+$D225*(1+$C$7)*$C$6)</f>
        <v/>
      </c>
      <c r="L225" s="27">
        <f>IF(I225="","",ROUND(I225*(1+$C$9),2))</f>
        <v/>
      </c>
      <c r="M225" s="27">
        <f>IF(J225="","",ROUND(J225*(1+$C$9),2))</f>
        <v/>
      </c>
      <c r="N225" s="27">
        <f>IF(K225="","",ROUND(K225*(1+$C$9),2))</f>
        <v/>
      </c>
      <c r="O225" s="28">
        <f>TRIM(IF($B225="NOT ASSIGNED","No NW part no. ","")&amp;IFERROR(IF(INDEX(Conversion!$J$2:$J$500,MATCH($A225,Conversion!$B$2:$B$500,0))="Needs review","Conversion table: needs review. ",""),"")&amp;IF(LEFT($E225,8)="ESTIMATE","Weight estimated. ","")&amp;"")</f>
        <v/>
      </c>
    </row>
    <row r="227">
      <c r="A227" s="16" t="inlineStr">
        <is>
          <t>Qty break</t>
        </is>
      </c>
      <c r="B227" s="17" t="n"/>
      <c r="C227" s="17" t="n"/>
      <c r="D227" s="17" t="n"/>
      <c r="E227" s="17" t="n"/>
      <c r="F227" s="18" t="inlineStr">
        <is>
          <t>&lt; 10 pcs</t>
        </is>
      </c>
      <c r="G227" s="18" t="inlineStr">
        <is>
          <t>≥ 10 pcs</t>
        </is>
      </c>
      <c r="H227" s="18" t="inlineStr">
        <is>
          <t>≥ 50 pcs</t>
        </is>
      </c>
      <c r="I227" s="18" t="inlineStr">
        <is>
          <t>&lt; 10 pcs</t>
        </is>
      </c>
      <c r="J227" s="18" t="inlineStr">
        <is>
          <t>≥ 10 pcs</t>
        </is>
      </c>
      <c r="K227" s="18" t="inlineStr">
        <is>
          <t>≥ 50 pcs</t>
        </is>
      </c>
      <c r="L227" s="18" t="inlineStr">
        <is>
          <t>&lt; 10 pcs</t>
        </is>
      </c>
      <c r="M227" s="18" t="inlineStr">
        <is>
          <t>≥ 10 pcs</t>
        </is>
      </c>
      <c r="N227" s="18" t="inlineStr">
        <is>
          <t>≥ 50 pcs</t>
        </is>
      </c>
      <c r="O227" s="17" t="n"/>
    </row>
    <row r="228">
      <c r="A228" s="19" t="inlineStr">
        <is>
          <t>RVSW13C17-12C</t>
        </is>
      </c>
      <c r="B228" s="20">
        <f>IFERROR(INDEX(Conversion!$C$2:$C$500,MATCH($A228,Conversion!$B$2:$B$500,0)),"NOT ASSIGNED")</f>
        <v/>
      </c>
      <c r="C228" s="21" t="inlineStr">
        <is>
          <t>St.st. hose tail 13mm x 1/2" BSP female screw cap with conical seal, 17mm collar</t>
        </is>
      </c>
      <c r="D228" s="29" t="n">
        <v>0.06</v>
      </c>
      <c r="E228" s="23" t="inlineStr">
        <is>
          <t>ESTIMATE - catalogue gives dimensions only (p.68-71)</t>
        </is>
      </c>
      <c r="F228" s="24" t="n">
        <v>17.43324</v>
      </c>
      <c r="G228" s="24" t="n">
        <v>13.946592</v>
      </c>
      <c r="H228" s="24" t="n">
        <v>12.203268</v>
      </c>
      <c r="I228" s="26">
        <f>IF(F228="","",F228/$C$5*(1+$C$8)+$D228*(1+$C$7)*$C$6)</f>
        <v/>
      </c>
      <c r="J228" s="26">
        <f>IF(G228="","",G228/$C$5*(1+$C$8)+$D228*(1+$C$7)*$C$6)</f>
        <v/>
      </c>
      <c r="K228" s="26">
        <f>IF(H228="","",H228/$C$5*(1+$C$8)+$D228*(1+$C$7)*$C$6)</f>
        <v/>
      </c>
      <c r="L228" s="27">
        <f>IF(I228="","",ROUND(I228*(1+$C$9),2))</f>
        <v/>
      </c>
      <c r="M228" s="27">
        <f>IF(J228="","",ROUND(J228*(1+$C$9),2))</f>
        <v/>
      </c>
      <c r="N228" s="27">
        <f>IF(K228="","",ROUND(K228*(1+$C$9),2))</f>
        <v/>
      </c>
      <c r="O228" s="28">
        <f>TRIM(IF($B228="NOT ASSIGNED","No NW part no. ","")&amp;IFERROR(IF(INDEX(Conversion!$J$2:$J$500,MATCH($A228,Conversion!$B$2:$B$500,0))="Needs review","Conversion table: needs review. ",""),"")&amp;IF(LEFT($E228,8)="ESTIMATE","Weight estimated. ","")&amp;"")</f>
        <v/>
      </c>
    </row>
    <row r="229">
      <c r="A229" s="19" t="inlineStr">
        <is>
          <t>RVSW13C17-34F</t>
        </is>
      </c>
      <c r="B229" s="20">
        <f>IFERROR(INDEX(Conversion!$C$2:$C$500,MATCH($A229,Conversion!$B$2:$B$500,0)),"NOT ASSIGNED")</f>
        <v/>
      </c>
      <c r="C229" s="21" t="inlineStr">
        <is>
          <t>St.st. hose tail 13mm x 3/4" BSP female screw cap with flat seal, 17mm collar</t>
        </is>
      </c>
      <c r="D229" s="29" t="n">
        <v>0.07000000000000001</v>
      </c>
      <c r="E229" s="23" t="inlineStr">
        <is>
          <t>ESTIMATE - catalogue gives dimensions only (p.68-71)</t>
        </is>
      </c>
      <c r="F229" s="24" t="n">
        <v>17.43324</v>
      </c>
      <c r="G229" s="24" t="n">
        <v>13.946592</v>
      </c>
      <c r="H229" s="24" t="n">
        <v>12.203268</v>
      </c>
      <c r="I229" s="26">
        <f>IF(F229="","",F229/$C$5*(1+$C$8)+$D229*(1+$C$7)*$C$6)</f>
        <v/>
      </c>
      <c r="J229" s="26">
        <f>IF(G229="","",G229/$C$5*(1+$C$8)+$D229*(1+$C$7)*$C$6)</f>
        <v/>
      </c>
      <c r="K229" s="26">
        <f>IF(H229="","",H229/$C$5*(1+$C$8)+$D229*(1+$C$7)*$C$6)</f>
        <v/>
      </c>
      <c r="L229" s="27">
        <f>IF(I229="","",ROUND(I229*(1+$C$9),2))</f>
        <v/>
      </c>
      <c r="M229" s="27">
        <f>IF(J229="","",ROUND(J229*(1+$C$9),2))</f>
        <v/>
      </c>
      <c r="N229" s="27">
        <f>IF(K229="","",ROUND(K229*(1+$C$9),2))</f>
        <v/>
      </c>
      <c r="O229" s="28">
        <f>TRIM(IF($B229="NOT ASSIGNED","No NW part no. ","")&amp;IFERROR(IF(INDEX(Conversion!$J$2:$J$500,MATCH($A229,Conversion!$B$2:$B$500,0))="Needs review","Conversion table: needs review. ",""),"")&amp;IF(LEFT($E229,8)="ESTIMATE","Weight estimated. ","")&amp;"")</f>
        <v/>
      </c>
    </row>
    <row r="230">
      <c r="A230" s="19" t="inlineStr">
        <is>
          <t>RVSW13C20-12C</t>
        </is>
      </c>
      <c r="B230" s="20">
        <f>IFERROR(INDEX(Conversion!$C$2:$C$500,MATCH($A230,Conversion!$B$2:$B$500,0)),"NOT ASSIGNED")</f>
        <v/>
      </c>
      <c r="C230" s="21" t="inlineStr">
        <is>
          <t>St.st. hose tail 13mm x 1/2" BSP female screw cap with conical seal, 20mm collar</t>
        </is>
      </c>
      <c r="D230" s="29" t="n">
        <v>0.06</v>
      </c>
      <c r="E230" s="23" t="inlineStr">
        <is>
          <t>ESTIMATE - catalogue gives dimensions only (p.68-71)</t>
        </is>
      </c>
      <c r="F230" s="24" t="n">
        <v>17.43324</v>
      </c>
      <c r="G230" s="24" t="n">
        <v>13.946592</v>
      </c>
      <c r="H230" s="24" t="n">
        <v>12.203268</v>
      </c>
      <c r="I230" s="26">
        <f>IF(F230="","",F230/$C$5*(1+$C$8)+$D230*(1+$C$7)*$C$6)</f>
        <v/>
      </c>
      <c r="J230" s="26">
        <f>IF(G230="","",G230/$C$5*(1+$C$8)+$D230*(1+$C$7)*$C$6)</f>
        <v/>
      </c>
      <c r="K230" s="26">
        <f>IF(H230="","",H230/$C$5*(1+$C$8)+$D230*(1+$C$7)*$C$6)</f>
        <v/>
      </c>
      <c r="L230" s="27">
        <f>IF(I230="","",ROUND(I230*(1+$C$9),2))</f>
        <v/>
      </c>
      <c r="M230" s="27">
        <f>IF(J230="","",ROUND(J230*(1+$C$9),2))</f>
        <v/>
      </c>
      <c r="N230" s="27">
        <f>IF(K230="","",ROUND(K230*(1+$C$9),2))</f>
        <v/>
      </c>
      <c r="O230" s="28">
        <f>TRIM(IF($B230="NOT ASSIGNED","No NW part no. ","")&amp;IFERROR(IF(INDEX(Conversion!$J$2:$J$500,MATCH($A230,Conversion!$B$2:$B$500,0))="Needs review","Conversion table: needs review. ",""),"")&amp;IF(LEFT($E230,8)="ESTIMATE","Weight estimated. ","")&amp;"")</f>
        <v/>
      </c>
    </row>
    <row r="231">
      <c r="A231" s="19" t="inlineStr">
        <is>
          <t>RVSW13C20-12F</t>
        </is>
      </c>
      <c r="B231" s="20">
        <f>IFERROR(INDEX(Conversion!$C$2:$C$500,MATCH($A231,Conversion!$B$2:$B$500,0)),"NOT ASSIGNED")</f>
        <v/>
      </c>
      <c r="C231" s="21" t="inlineStr">
        <is>
          <t>St.st. hose tail 13mm x 1/2" BSP female screw cap with flat seal, 20mm collar</t>
        </is>
      </c>
      <c r="D231" s="29" t="n">
        <v>0.06</v>
      </c>
      <c r="E231" s="23" t="inlineStr">
        <is>
          <t>ESTIMATE - catalogue gives dimensions only (p.68-71)</t>
        </is>
      </c>
      <c r="F231" s="24" t="n">
        <v>17.43324</v>
      </c>
      <c r="G231" s="24" t="n">
        <v>13.946592</v>
      </c>
      <c r="H231" s="24" t="n">
        <v>12.203268</v>
      </c>
      <c r="I231" s="26">
        <f>IF(F231="","",F231/$C$5*(1+$C$8)+$D231*(1+$C$7)*$C$6)</f>
        <v/>
      </c>
      <c r="J231" s="26">
        <f>IF(G231="","",G231/$C$5*(1+$C$8)+$D231*(1+$C$7)*$C$6)</f>
        <v/>
      </c>
      <c r="K231" s="26">
        <f>IF(H231="","",H231/$C$5*(1+$C$8)+$D231*(1+$C$7)*$C$6)</f>
        <v/>
      </c>
      <c r="L231" s="27">
        <f>IF(I231="","",ROUND(I231*(1+$C$9),2))</f>
        <v/>
      </c>
      <c r="M231" s="27">
        <f>IF(J231="","",ROUND(J231*(1+$C$9),2))</f>
        <v/>
      </c>
      <c r="N231" s="27">
        <f>IF(K231="","",ROUND(K231*(1+$C$9),2))</f>
        <v/>
      </c>
      <c r="O231" s="28">
        <f>TRIM(IF($B231="NOT ASSIGNED","No NW part no. ","")&amp;IFERROR(IF(INDEX(Conversion!$J$2:$J$500,MATCH($A231,Conversion!$B$2:$B$500,0))="Needs review","Conversion table: needs review. ",""),"")&amp;IF(LEFT($E231,8)="ESTIMATE","Weight estimated. ","")&amp;"")</f>
        <v/>
      </c>
    </row>
    <row r="232">
      <c r="A232" s="19" t="inlineStr">
        <is>
          <t>RVSW13C20-12FS</t>
        </is>
      </c>
      <c r="B232" s="20">
        <f>IFERROR(INDEX(Conversion!$C$2:$C$500,MATCH($A232,Conversion!$B$2:$B$500,0)),"NOT ASSIGNED")</f>
        <v/>
      </c>
      <c r="C232" s="21" t="inlineStr">
        <is>
          <t>St.st. hose tail 13mm x 1/2" BSP female screw cap with flat seal, 20mm collar and spring</t>
        </is>
      </c>
      <c r="D232" s="29" t="n">
        <v>0.1</v>
      </c>
      <c r="E232" s="23" t="inlineStr">
        <is>
          <t>ESTIMATE - catalogue gives dimensions only (p.68-71)</t>
        </is>
      </c>
      <c r="F232" s="24" t="n">
        <v>24.68158</v>
      </c>
      <c r="G232" s="24" t="n">
        <v>19.745264</v>
      </c>
      <c r="H232" s="24" t="n">
        <v>17.277106</v>
      </c>
      <c r="I232" s="26">
        <f>IF(F232="","",F232/$C$5*(1+$C$8)+$D232*(1+$C$7)*$C$6)</f>
        <v/>
      </c>
      <c r="J232" s="26">
        <f>IF(G232="","",G232/$C$5*(1+$C$8)+$D232*(1+$C$7)*$C$6)</f>
        <v/>
      </c>
      <c r="K232" s="26">
        <f>IF(H232="","",H232/$C$5*(1+$C$8)+$D232*(1+$C$7)*$C$6)</f>
        <v/>
      </c>
      <c r="L232" s="27">
        <f>IF(I232="","",ROUND(I232*(1+$C$9),2))</f>
        <v/>
      </c>
      <c r="M232" s="27">
        <f>IF(J232="","",ROUND(J232*(1+$C$9),2))</f>
        <v/>
      </c>
      <c r="N232" s="27">
        <f>IF(K232="","",ROUND(K232*(1+$C$9),2))</f>
        <v/>
      </c>
      <c r="O232" s="28">
        <f>TRIM(IF($B232="NOT ASSIGNED","No NW part no. ","")&amp;IFERROR(IF(INDEX(Conversion!$J$2:$J$500,MATCH($A232,Conversion!$B$2:$B$500,0))="Needs review","Conversion table: needs review. ",""),"")&amp;IF(LEFT($E232,8)="ESTIMATE","Weight estimated. ","")&amp;"")</f>
        <v/>
      </c>
    </row>
    <row r="233">
      <c r="A233" s="19" t="inlineStr">
        <is>
          <t>RVSW13C20-34F</t>
        </is>
      </c>
      <c r="B233" s="20">
        <f>IFERROR(INDEX(Conversion!$C$2:$C$500,MATCH($A233,Conversion!$B$2:$B$500,0)),"NOT ASSIGNED")</f>
        <v/>
      </c>
      <c r="C233" s="21" t="inlineStr">
        <is>
          <t>St.st. hose tail 13mm x 3/4" BSP female screw cap with flat seal, 20mm collar</t>
        </is>
      </c>
      <c r="D233" s="29" t="n">
        <v>0.07000000000000001</v>
      </c>
      <c r="E233" s="23" t="inlineStr">
        <is>
          <t>ESTIMATE - catalogue gives dimensions only (p.68-71)</t>
        </is>
      </c>
      <c r="F233" s="24" t="n">
        <v>17.43324</v>
      </c>
      <c r="G233" s="24" t="n">
        <v>13.946592</v>
      </c>
      <c r="H233" s="24" t="n">
        <v>12.203268</v>
      </c>
      <c r="I233" s="26">
        <f>IF(F233="","",F233/$C$5*(1+$C$8)+$D233*(1+$C$7)*$C$6)</f>
        <v/>
      </c>
      <c r="J233" s="26">
        <f>IF(G233="","",G233/$C$5*(1+$C$8)+$D233*(1+$C$7)*$C$6)</f>
        <v/>
      </c>
      <c r="K233" s="26">
        <f>IF(H233="","",H233/$C$5*(1+$C$8)+$D233*(1+$C$7)*$C$6)</f>
        <v/>
      </c>
      <c r="L233" s="27">
        <f>IF(I233="","",ROUND(I233*(1+$C$9),2))</f>
        <v/>
      </c>
      <c r="M233" s="27">
        <f>IF(J233="","",ROUND(J233*(1+$C$9),2))</f>
        <v/>
      </c>
      <c r="N233" s="27">
        <f>IF(K233="","",ROUND(K233*(1+$C$9),2))</f>
        <v/>
      </c>
      <c r="O233" s="28">
        <f>TRIM(IF($B233="NOT ASSIGNED","No NW part no. ","")&amp;IFERROR(IF(INDEX(Conversion!$J$2:$J$500,MATCH($A233,Conversion!$B$2:$B$500,0))="Needs review","Conversion table: needs review. ",""),"")&amp;IF(LEFT($E233,8)="ESTIMATE","Weight estimated. ","")&amp;"")</f>
        <v/>
      </c>
    </row>
    <row r="234">
      <c r="A234" s="19" t="inlineStr">
        <is>
          <t>RVSW16C21-12C</t>
        </is>
      </c>
      <c r="B234" s="20">
        <f>IFERROR(INDEX(Conversion!$C$2:$C$500,MATCH($A234,Conversion!$B$2:$B$500,0)),"NOT ASSIGNED")</f>
        <v/>
      </c>
      <c r="C234" s="21" t="inlineStr">
        <is>
          <t>St.st. hose tail 16mm x 1/2" BSP female screw cap with conical seal, 21mm collar</t>
        </is>
      </c>
      <c r="D234" s="29" t="n">
        <v>0.07000000000000001</v>
      </c>
      <c r="E234" s="23" t="inlineStr">
        <is>
          <t>ESTIMATE - catalogue gives dimensions only (p.68-71)</t>
        </is>
      </c>
      <c r="F234" s="24" t="n">
        <v>21.02122</v>
      </c>
      <c r="G234" s="24" t="n">
        <v>16.816976</v>
      </c>
      <c r="H234" s="24" t="n">
        <v>14.714854</v>
      </c>
      <c r="I234" s="26">
        <f>IF(F234="","",F234/$C$5*(1+$C$8)+$D234*(1+$C$7)*$C$6)</f>
        <v/>
      </c>
      <c r="J234" s="26">
        <f>IF(G234="","",G234/$C$5*(1+$C$8)+$D234*(1+$C$7)*$C$6)</f>
        <v/>
      </c>
      <c r="K234" s="26">
        <f>IF(H234="","",H234/$C$5*(1+$C$8)+$D234*(1+$C$7)*$C$6)</f>
        <v/>
      </c>
      <c r="L234" s="27">
        <f>IF(I234="","",ROUND(I234*(1+$C$9),2))</f>
        <v/>
      </c>
      <c r="M234" s="27">
        <f>IF(J234="","",ROUND(J234*(1+$C$9),2))</f>
        <v/>
      </c>
      <c r="N234" s="27">
        <f>IF(K234="","",ROUND(K234*(1+$C$9),2))</f>
        <v/>
      </c>
      <c r="O234" s="28">
        <f>TRIM(IF($B234="NOT ASSIGNED","No NW part no. ","")&amp;IFERROR(IF(INDEX(Conversion!$J$2:$J$500,MATCH($A234,Conversion!$B$2:$B$500,0))="Needs review","Conversion table: needs review. ",""),"")&amp;IF(LEFT($E234,8)="ESTIMATE","Weight estimated. ","")&amp;"")</f>
        <v/>
      </c>
    </row>
    <row r="235">
      <c r="A235" s="19" t="inlineStr">
        <is>
          <t>RVSW16C21-12CS</t>
        </is>
      </c>
      <c r="B235" s="20">
        <f>IFERROR(INDEX(Conversion!$C$2:$C$500,MATCH($A235,Conversion!$B$2:$B$500,0)),"NOT ASSIGNED")</f>
        <v/>
      </c>
      <c r="C235" s="21" t="inlineStr">
        <is>
          <t>St.st. hose tail 16mm x 1/2" BSP female screw cap with conical seal, 21mm collar and spring</t>
        </is>
      </c>
      <c r="D235" s="29" t="n">
        <v>0.11</v>
      </c>
      <c r="E235" s="23" t="inlineStr">
        <is>
          <t>ESTIMATE - catalogue gives dimensions only (p.68-71)</t>
        </is>
      </c>
      <c r="F235" s="24" t="n">
        <v>25.61218</v>
      </c>
      <c r="G235" s="24" t="n">
        <v>20.489744</v>
      </c>
      <c r="H235" s="24" t="n">
        <v>17.928526</v>
      </c>
      <c r="I235" s="26">
        <f>IF(F235="","",F235/$C$5*(1+$C$8)+$D235*(1+$C$7)*$C$6)</f>
        <v/>
      </c>
      <c r="J235" s="26">
        <f>IF(G235="","",G235/$C$5*(1+$C$8)+$D235*(1+$C$7)*$C$6)</f>
        <v/>
      </c>
      <c r="K235" s="26">
        <f>IF(H235="","",H235/$C$5*(1+$C$8)+$D235*(1+$C$7)*$C$6)</f>
        <v/>
      </c>
      <c r="L235" s="27">
        <f>IF(I235="","",ROUND(I235*(1+$C$9),2))</f>
        <v/>
      </c>
      <c r="M235" s="27">
        <f>IF(J235="","",ROUND(J235*(1+$C$9),2))</f>
        <v/>
      </c>
      <c r="N235" s="27">
        <f>IF(K235="","",ROUND(K235*(1+$C$9),2))</f>
        <v/>
      </c>
      <c r="O235" s="28">
        <f>TRIM(IF($B235="NOT ASSIGNED","No NW part no. ","")&amp;IFERROR(IF(INDEX(Conversion!$J$2:$J$500,MATCH($A235,Conversion!$B$2:$B$500,0))="Needs review","Conversion table: needs review. ",""),"")&amp;IF(LEFT($E235,8)="ESTIMATE","Weight estimated. ","")&amp;"")</f>
        <v/>
      </c>
    </row>
    <row r="236">
      <c r="A236" s="19" t="inlineStr">
        <is>
          <t>RVSW16C21-12F</t>
        </is>
      </c>
      <c r="B236" s="20">
        <f>IFERROR(INDEX(Conversion!$C$2:$C$500,MATCH($A236,Conversion!$B$2:$B$500,0)),"NOT ASSIGNED")</f>
        <v/>
      </c>
      <c r="C236" s="21" t="inlineStr">
        <is>
          <t>St.st. hose tail 16mm x 1/2" BSP female screw cap with flat seal, 21mm collar</t>
        </is>
      </c>
      <c r="D236" s="29" t="n">
        <v>0.07000000000000001</v>
      </c>
      <c r="E236" s="23" t="inlineStr">
        <is>
          <t>ESTIMATE - catalogue gives dimensions only (p.68-71)</t>
        </is>
      </c>
      <c r="F236" s="24" t="n">
        <v>25.39504</v>
      </c>
      <c r="G236" s="24" t="n">
        <v>20.316032</v>
      </c>
      <c r="H236" s="24" t="n">
        <v>17.776528</v>
      </c>
      <c r="I236" s="26">
        <f>IF(F236="","",F236/$C$5*(1+$C$8)+$D236*(1+$C$7)*$C$6)</f>
        <v/>
      </c>
      <c r="J236" s="26">
        <f>IF(G236="","",G236/$C$5*(1+$C$8)+$D236*(1+$C$7)*$C$6)</f>
        <v/>
      </c>
      <c r="K236" s="26">
        <f>IF(H236="","",H236/$C$5*(1+$C$8)+$D236*(1+$C$7)*$C$6)</f>
        <v/>
      </c>
      <c r="L236" s="27">
        <f>IF(I236="","",ROUND(I236*(1+$C$9),2))</f>
        <v/>
      </c>
      <c r="M236" s="27">
        <f>IF(J236="","",ROUND(J236*(1+$C$9),2))</f>
        <v/>
      </c>
      <c r="N236" s="27">
        <f>IF(K236="","",ROUND(K236*(1+$C$9),2))</f>
        <v/>
      </c>
      <c r="O236" s="28">
        <f>TRIM(IF($B236="NOT ASSIGNED","No NW part no. ","")&amp;IFERROR(IF(INDEX(Conversion!$J$2:$J$500,MATCH($A236,Conversion!$B$2:$B$500,0))="Needs review","Conversion table: needs review. ",""),"")&amp;IF(LEFT($E236,8)="ESTIMATE","Weight estimated. ","")&amp;"")</f>
        <v/>
      </c>
    </row>
    <row r="237">
      <c r="A237" s="19" t="inlineStr">
        <is>
          <t>RVSW16C21-34F</t>
        </is>
      </c>
      <c r="B237" s="20">
        <f>IFERROR(INDEX(Conversion!$C$2:$C$500,MATCH($A237,Conversion!$B$2:$B$500,0)),"NOT ASSIGNED")</f>
        <v/>
      </c>
      <c r="C237" s="21" t="inlineStr">
        <is>
          <t>St.st. hose tail 16mm x 3/4" BSP female screw cap with flat seal, 21mm collar</t>
        </is>
      </c>
      <c r="D237" s="29" t="n">
        <v>0.08</v>
      </c>
      <c r="E237" s="23" t="inlineStr">
        <is>
          <t>ESTIMATE - catalogue gives dimensions only (p.68-71)</t>
        </is>
      </c>
      <c r="F237" s="24" t="n">
        <v>25.39504</v>
      </c>
      <c r="G237" s="24" t="n">
        <v>20.316032</v>
      </c>
      <c r="H237" s="24" t="n">
        <v>17.776528</v>
      </c>
      <c r="I237" s="26">
        <f>IF(F237="","",F237/$C$5*(1+$C$8)+$D237*(1+$C$7)*$C$6)</f>
        <v/>
      </c>
      <c r="J237" s="26">
        <f>IF(G237="","",G237/$C$5*(1+$C$8)+$D237*(1+$C$7)*$C$6)</f>
        <v/>
      </c>
      <c r="K237" s="26">
        <f>IF(H237="","",H237/$C$5*(1+$C$8)+$D237*(1+$C$7)*$C$6)</f>
        <v/>
      </c>
      <c r="L237" s="27">
        <f>IF(I237="","",ROUND(I237*(1+$C$9),2))</f>
        <v/>
      </c>
      <c r="M237" s="27">
        <f>IF(J237="","",ROUND(J237*(1+$C$9),2))</f>
        <v/>
      </c>
      <c r="N237" s="27">
        <f>IF(K237="","",ROUND(K237*(1+$C$9),2))</f>
        <v/>
      </c>
      <c r="O237" s="28">
        <f>TRIM(IF($B237="NOT ASSIGNED","No NW part no. ","")&amp;IFERROR(IF(INDEX(Conversion!$J$2:$J$500,MATCH($A237,Conversion!$B$2:$B$500,0))="Needs review","Conversion table: needs review. ",""),"")&amp;IF(LEFT($E237,8)="ESTIMATE","Weight estimated. ","")&amp;"")</f>
        <v/>
      </c>
    </row>
    <row r="238">
      <c r="A238" s="19" t="inlineStr">
        <is>
          <t>RVSW19C24-34C</t>
        </is>
      </c>
      <c r="B238" s="20">
        <f>IFERROR(INDEX(Conversion!$C$2:$C$500,MATCH($A238,Conversion!$B$2:$B$500,0)),"NOT ASSIGNED")</f>
        <v/>
      </c>
      <c r="C238" s="21" t="inlineStr">
        <is>
          <t>St.st. hose tail 19mm x 3/4" BSP female screw cap with conical seal, 24mm collar</t>
        </is>
      </c>
      <c r="D238" s="29" t="n">
        <v>0.09</v>
      </c>
      <c r="E238" s="23" t="inlineStr">
        <is>
          <t>ESTIMATE - catalogue gives dimensions only (p.68-71)</t>
        </is>
      </c>
      <c r="F238" s="24" t="n">
        <v>25.61218</v>
      </c>
      <c r="G238" s="24" t="n">
        <v>20.489744</v>
      </c>
      <c r="H238" s="24" t="n">
        <v>17.928526</v>
      </c>
      <c r="I238" s="26">
        <f>IF(F238="","",F238/$C$5*(1+$C$8)+$D238*(1+$C$7)*$C$6)</f>
        <v/>
      </c>
      <c r="J238" s="26">
        <f>IF(G238="","",G238/$C$5*(1+$C$8)+$D238*(1+$C$7)*$C$6)</f>
        <v/>
      </c>
      <c r="K238" s="26">
        <f>IF(H238="","",H238/$C$5*(1+$C$8)+$D238*(1+$C$7)*$C$6)</f>
        <v/>
      </c>
      <c r="L238" s="27">
        <f>IF(I238="","",ROUND(I238*(1+$C$9),2))</f>
        <v/>
      </c>
      <c r="M238" s="27">
        <f>IF(J238="","",ROUND(J238*(1+$C$9),2))</f>
        <v/>
      </c>
      <c r="N238" s="27">
        <f>IF(K238="","",ROUND(K238*(1+$C$9),2))</f>
        <v/>
      </c>
      <c r="O238" s="28">
        <f>TRIM(IF($B238="NOT ASSIGNED","No NW part no. ","")&amp;IFERROR(IF(INDEX(Conversion!$J$2:$J$500,MATCH($A238,Conversion!$B$2:$B$500,0))="Needs review","Conversion table: needs review. ",""),"")&amp;IF(LEFT($E238,8)="ESTIMATE","Weight estimated. ","")&amp;"")</f>
        <v/>
      </c>
    </row>
    <row r="239">
      <c r="A239" s="19" t="inlineStr">
        <is>
          <t>RVSW19C24-34F</t>
        </is>
      </c>
      <c r="B239" s="20">
        <f>IFERROR(INDEX(Conversion!$C$2:$C$500,MATCH($A239,Conversion!$B$2:$B$500,0)),"NOT ASSIGNED")</f>
        <v/>
      </c>
      <c r="C239" s="21" t="inlineStr">
        <is>
          <t>St.st. hose tail 19mm x 3/4" BSP female screw cap with flat seal, 24mm collar</t>
        </is>
      </c>
      <c r="D239" s="29" t="n">
        <v>0.09</v>
      </c>
      <c r="E239" s="23" t="inlineStr">
        <is>
          <t>ESTIMATE - catalogue gives dimensions only (p.68-71)</t>
        </is>
      </c>
      <c r="F239" s="24" t="n">
        <v>26.4704</v>
      </c>
      <c r="G239" s="24" t="n">
        <v>21.17632</v>
      </c>
      <c r="H239" s="24" t="n">
        <v>18.52928</v>
      </c>
      <c r="I239" s="26">
        <f>IF(F239="","",F239/$C$5*(1+$C$8)+$D239*(1+$C$7)*$C$6)</f>
        <v/>
      </c>
      <c r="J239" s="26">
        <f>IF(G239="","",G239/$C$5*(1+$C$8)+$D239*(1+$C$7)*$C$6)</f>
        <v/>
      </c>
      <c r="K239" s="26">
        <f>IF(H239="","",H239/$C$5*(1+$C$8)+$D239*(1+$C$7)*$C$6)</f>
        <v/>
      </c>
      <c r="L239" s="27">
        <f>IF(I239="","",ROUND(I239*(1+$C$9),2))</f>
        <v/>
      </c>
      <c r="M239" s="27">
        <f>IF(J239="","",ROUND(J239*(1+$C$9),2))</f>
        <v/>
      </c>
      <c r="N239" s="27">
        <f>IF(K239="","",ROUND(K239*(1+$C$9),2))</f>
        <v/>
      </c>
      <c r="O239" s="28">
        <f>TRIM(IF($B239="NOT ASSIGNED","No NW part no. ","")&amp;IFERROR(IF(INDEX(Conversion!$J$2:$J$500,MATCH($A239,Conversion!$B$2:$B$500,0))="Needs review","Conversion table: needs review. ",""),"")&amp;IF(LEFT($E239,8)="ESTIMATE","Weight estimated. ","")&amp;"")</f>
        <v/>
      </c>
    </row>
    <row r="240">
      <c r="A240" s="19" t="inlineStr">
        <is>
          <t>RVSW19C24-1C</t>
        </is>
      </c>
      <c r="B240" s="20">
        <f>IFERROR(INDEX(Conversion!$C$2:$C$500,MATCH($A240,Conversion!$B$2:$B$500,0)),"NOT ASSIGNED")</f>
        <v/>
      </c>
      <c r="C240" s="21" t="inlineStr">
        <is>
          <t>St.st. hose tail 19mm x 1" BSP female screw cap with conical seal, 24mm collar</t>
        </is>
      </c>
      <c r="D240" s="29" t="n">
        <v>0.11</v>
      </c>
      <c r="E240" s="23" t="inlineStr">
        <is>
          <t>ESTIMATE - catalogue gives dimensions only (p.68-71)</t>
        </is>
      </c>
      <c r="F240" s="24" t="n">
        <v>30.99932</v>
      </c>
      <c r="G240" s="24" t="n">
        <v>24.799456</v>
      </c>
      <c r="H240" s="24" t="n">
        <v>21.699524</v>
      </c>
      <c r="I240" s="26">
        <f>IF(F240="","",F240/$C$5*(1+$C$8)+$D240*(1+$C$7)*$C$6)</f>
        <v/>
      </c>
      <c r="J240" s="26">
        <f>IF(G240="","",G240/$C$5*(1+$C$8)+$D240*(1+$C$7)*$C$6)</f>
        <v/>
      </c>
      <c r="K240" s="26">
        <f>IF(H240="","",H240/$C$5*(1+$C$8)+$D240*(1+$C$7)*$C$6)</f>
        <v/>
      </c>
      <c r="L240" s="27">
        <f>IF(I240="","",ROUND(I240*(1+$C$9),2))</f>
        <v/>
      </c>
      <c r="M240" s="27">
        <f>IF(J240="","",ROUND(J240*(1+$C$9),2))</f>
        <v/>
      </c>
      <c r="N240" s="27">
        <f>IF(K240="","",ROUND(K240*(1+$C$9),2))</f>
        <v/>
      </c>
      <c r="O240" s="28">
        <f>TRIM(IF($B240="NOT ASSIGNED","No NW part no. ","")&amp;IFERROR(IF(INDEX(Conversion!$J$2:$J$500,MATCH($A240,Conversion!$B$2:$B$500,0))="Needs review","Conversion table: needs review. ",""),"")&amp;IF(LEFT($E240,8)="ESTIMATE","Weight estimated. ","")&amp;"")</f>
        <v/>
      </c>
    </row>
    <row r="241">
      <c r="A241" s="19" t="inlineStr">
        <is>
          <t>RVSW19C24-1F</t>
        </is>
      </c>
      <c r="B241" s="20">
        <f>IFERROR(INDEX(Conversion!$C$2:$C$500,MATCH($A241,Conversion!$B$2:$B$500,0)),"NOT ASSIGNED")</f>
        <v/>
      </c>
      <c r="C241" s="21" t="inlineStr">
        <is>
          <t>St.st. hose tail 19mm x 1" BSP female screw cap with flat seal, 24mm collar</t>
        </is>
      </c>
      <c r="D241" s="29" t="n">
        <v>0.11</v>
      </c>
      <c r="E241" s="23" t="inlineStr">
        <is>
          <t>ESTIMATE - catalogue gives dimensions only (p.68-71)</t>
        </is>
      </c>
      <c r="F241" s="24" t="n">
        <v>32.1057</v>
      </c>
      <c r="G241" s="24" t="n">
        <v>25.68456</v>
      </c>
      <c r="H241" s="24" t="n">
        <v>22.47399</v>
      </c>
      <c r="I241" s="26">
        <f>IF(F241="","",F241/$C$5*(1+$C$8)+$D241*(1+$C$7)*$C$6)</f>
        <v/>
      </c>
      <c r="J241" s="26">
        <f>IF(G241="","",G241/$C$5*(1+$C$8)+$D241*(1+$C$7)*$C$6)</f>
        <v/>
      </c>
      <c r="K241" s="26">
        <f>IF(H241="","",H241/$C$5*(1+$C$8)+$D241*(1+$C$7)*$C$6)</f>
        <v/>
      </c>
      <c r="L241" s="27">
        <f>IF(I241="","",ROUND(I241*(1+$C$9),2))</f>
        <v/>
      </c>
      <c r="M241" s="27">
        <f>IF(J241="","",ROUND(J241*(1+$C$9),2))</f>
        <v/>
      </c>
      <c r="N241" s="27">
        <f>IF(K241="","",ROUND(K241*(1+$C$9),2))</f>
        <v/>
      </c>
      <c r="O241" s="28">
        <f>TRIM(IF($B241="NOT ASSIGNED","No NW part no. ","")&amp;IFERROR(IF(INDEX(Conversion!$J$2:$J$500,MATCH($A241,Conversion!$B$2:$B$500,0))="Needs review","Conversion table: needs review. ",""),"")&amp;IF(LEFT($E241,8)="ESTIMATE","Weight estimated. ","")&amp;"")</f>
        <v/>
      </c>
    </row>
    <row r="242">
      <c r="A242" s="19" t="inlineStr">
        <is>
          <t>RVSW25C36-1C</t>
        </is>
      </c>
      <c r="B242" s="20">
        <f>IFERROR(INDEX(Conversion!$C$2:$C$500,MATCH($A242,Conversion!$B$2:$B$500,0)),"NOT ASSIGNED")</f>
        <v/>
      </c>
      <c r="C242" s="21" t="inlineStr">
        <is>
          <t>St.st. hose tail 25mm x 1" BSP female screw cap with conical seal, 36mm collar</t>
        </is>
      </c>
      <c r="D242" s="29" t="n">
        <v>0.13</v>
      </c>
      <c r="E242" s="23" t="inlineStr">
        <is>
          <t>ESTIMATE - catalogue gives dimensions only (p.68-71)</t>
        </is>
      </c>
      <c r="F242" s="24" t="n">
        <v>35.70402</v>
      </c>
      <c r="G242" s="24" t="n">
        <v>28.563216</v>
      </c>
      <c r="H242" s="24" t="n">
        <v>24.992814</v>
      </c>
      <c r="I242" s="26">
        <f>IF(F242="","",F242/$C$5*(1+$C$8)+$D242*(1+$C$7)*$C$6)</f>
        <v/>
      </c>
      <c r="J242" s="26">
        <f>IF(G242="","",G242/$C$5*(1+$C$8)+$D242*(1+$C$7)*$C$6)</f>
        <v/>
      </c>
      <c r="K242" s="26">
        <f>IF(H242="","",H242/$C$5*(1+$C$8)+$D242*(1+$C$7)*$C$6)</f>
        <v/>
      </c>
      <c r="L242" s="27">
        <f>IF(I242="","",ROUND(I242*(1+$C$9),2))</f>
        <v/>
      </c>
      <c r="M242" s="27">
        <f>IF(J242="","",ROUND(J242*(1+$C$9),2))</f>
        <v/>
      </c>
      <c r="N242" s="27">
        <f>IF(K242="","",ROUND(K242*(1+$C$9),2))</f>
        <v/>
      </c>
      <c r="O242" s="28">
        <f>TRIM(IF($B242="NOT ASSIGNED","No NW part no. ","")&amp;IFERROR(IF(INDEX(Conversion!$J$2:$J$500,MATCH($A242,Conversion!$B$2:$B$500,0))="Needs review","Conversion table: needs review. ",""),"")&amp;IF(LEFT($E242,8)="ESTIMATE","Weight estimated. ","")&amp;"")</f>
        <v/>
      </c>
    </row>
  </sheetData>
  <mergeCells count="3">
    <mergeCell ref="I13:K13"/>
    <mergeCell ref="F13:H13"/>
    <mergeCell ref="L13:N13"/>
  </mergeCells>
  <conditionalFormatting sqref="B14:B242">
    <cfRule type="expression" priority="1" dxfId="0">
      <formula>$B14="NOT ASSIGNED"</formula>
    </cfRule>
  </conditionalFormatting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0" customWidth="1" min="2" max="2"/>
    <col width="22" customWidth="1" min="3" max="3"/>
    <col width="30" customWidth="1" min="4" max="4"/>
    <col width="36" customWidth="1" min="5" max="5"/>
    <col width="26" customWidth="1" min="6" max="6"/>
    <col width="30" customWidth="1" min="7" max="7"/>
    <col width="50" customWidth="1" min="8" max="8"/>
    <col width="40" customWidth="1" min="9" max="9"/>
    <col width="13" customWidth="1" min="10" max="10"/>
    <col width="60" customWidth="1" min="11" max="11"/>
  </cols>
  <sheetData>
    <row r="1">
      <c r="A1" s="32" t="inlineStr">
        <is>
          <t>Category</t>
        </is>
      </c>
      <c r="B1" s="32" t="inlineStr">
        <is>
          <t>AKBO Part Number</t>
        </is>
      </c>
      <c r="C1" s="32" t="inlineStr">
        <is>
          <t>Our Code</t>
        </is>
      </c>
      <c r="D1" s="32" t="inlineStr">
        <is>
          <t>Product Type</t>
        </is>
      </c>
      <c r="E1" s="32" t="inlineStr">
        <is>
          <t>Size / Dimensions / Connection</t>
        </is>
      </c>
      <c r="F1" s="32" t="inlineStr">
        <is>
          <t>Material</t>
        </is>
      </c>
      <c r="G1" s="32" t="inlineStr">
        <is>
          <t>Variant</t>
        </is>
      </c>
      <c r="H1" s="32" t="inlineStr">
        <is>
          <t>Description</t>
        </is>
      </c>
      <c r="I1" s="32" t="inlineStr">
        <is>
          <t>Source Page</t>
        </is>
      </c>
      <c r="J1" s="32" t="inlineStr">
        <is>
          <t>Status</t>
        </is>
      </c>
      <c r="K1" s="32" t="inlineStr">
        <is>
          <t>Notes</t>
        </is>
      </c>
    </row>
    <row r="2">
      <c r="A2" s="4" t="inlineStr">
        <is>
          <t>Washdown / cleaning equipment</t>
        </is>
      </c>
      <c r="B2" s="4" t="inlineStr">
        <is>
          <t>AKMN011-B</t>
        </is>
      </c>
      <c r="C2" s="4" t="inlineStr">
        <is>
          <t>WD-MN011-B</t>
        </is>
      </c>
      <c r="D2" s="4" t="inlineStr">
        <is>
          <t>Wash gun</t>
        </is>
      </c>
      <c r="E2" s="4" t="inlineStr">
        <is>
          <t>Blue King, 1/2" BSP female inlet</t>
        </is>
      </c>
      <c r="F2" s="4" t="inlineStr">
        <is>
          <t>Brass HPb59-3</t>
        </is>
      </c>
      <c r="G2" s="4" t="n"/>
      <c r="H2" s="4" t="inlineStr">
        <is>
          <t>Wash gun, Blue King, 1/2" BSP female inlet, Brass HPb59-3</t>
        </is>
      </c>
      <c r="I2" s="4" t="inlineStr">
        <is>
          <t>07 - Blue King.pdf</t>
        </is>
      </c>
      <c r="J2" s="4" t="inlineStr">
        <is>
          <t>Confirmed</t>
        </is>
      </c>
      <c r="K2" s="4" t="n"/>
    </row>
    <row r="3">
      <c r="A3" s="4" t="inlineStr">
        <is>
          <t>Washdown / cleaning equipment</t>
        </is>
      </c>
      <c r="B3" s="4" t="inlineStr">
        <is>
          <t>AKMNP11-B</t>
        </is>
      </c>
      <c r="C3" s="4" t="inlineStr">
        <is>
          <t>WD-MNP11-B</t>
        </is>
      </c>
      <c r="D3" s="4" t="inlineStr">
        <is>
          <t>Wash gun</t>
        </is>
      </c>
      <c r="E3" s="4" t="inlineStr">
        <is>
          <t>Blue King, 1/2" BSP female inlet</t>
        </is>
      </c>
      <c r="F3" s="4" t="inlineStr">
        <is>
          <t>Brass HPb59-3</t>
        </is>
      </c>
      <c r="G3" s="4" t="inlineStr">
        <is>
          <t>with trigger guard</t>
        </is>
      </c>
      <c r="H3" s="4" t="inlineStr">
        <is>
          <t>Wash gun, Blue King, 1/2" BSP female inlet, Brass HPb59-3, with trigger guard</t>
        </is>
      </c>
      <c r="I3" s="4" t="inlineStr">
        <is>
          <t>07 - Blue King.pdf</t>
        </is>
      </c>
      <c r="J3" s="4" t="inlineStr">
        <is>
          <t>Confirmed</t>
        </is>
      </c>
      <c r="K3" s="4" t="n"/>
    </row>
    <row r="4">
      <c r="A4" s="4" t="inlineStr">
        <is>
          <t>Washdown / cleaning equipment</t>
        </is>
      </c>
      <c r="B4" s="4" t="inlineStr">
        <is>
          <t>AKMNP11-B-SW12</t>
        </is>
      </c>
      <c r="C4" s="4" t="inlineStr">
        <is>
          <t>WD-MNP11-B-SW12</t>
        </is>
      </c>
      <c r="D4" s="4" t="inlineStr">
        <is>
          <t>Wash gun</t>
        </is>
      </c>
      <c r="E4" s="4" t="inlineStr">
        <is>
          <t>Blue King, 1/2" BSP female inlet, with swivel</t>
        </is>
      </c>
      <c r="F4" s="4" t="inlineStr">
        <is>
          <t>Brass HPb59-3</t>
        </is>
      </c>
      <c r="G4" s="4" t="inlineStr">
        <is>
          <t>with trigger guard and swivel</t>
        </is>
      </c>
      <c r="H4" s="4" t="inlineStr">
        <is>
          <t>Wash gun, Blue King, 1/2" BSP female inlet, with swivel, Brass HPb59-3, with trigger guard and swivel</t>
        </is>
      </c>
      <c r="I4" s="4" t="inlineStr">
        <is>
          <t>07 - Blue King.pdf</t>
        </is>
      </c>
      <c r="J4" s="4" t="inlineStr">
        <is>
          <t>Confirmed</t>
        </is>
      </c>
      <c r="K4" s="4" t="n"/>
    </row>
    <row r="5">
      <c r="A5" s="4" t="inlineStr">
        <is>
          <t>Washdown / cleaning equipment</t>
        </is>
      </c>
      <c r="B5" s="4" t="inlineStr">
        <is>
          <t>AKRSV01-B</t>
        </is>
      </c>
      <c r="C5" s="4" t="inlineStr">
        <is>
          <t>WD-RSV01-B</t>
        </is>
      </c>
      <c r="D5" s="4" t="inlineStr">
        <is>
          <t>The Squeezer</t>
        </is>
      </c>
      <c r="E5" s="4" t="inlineStr">
        <is>
          <t>1/2" BSP female (inlet and outlet)</t>
        </is>
      </c>
      <c r="F5" s="4" t="inlineStr">
        <is>
          <t>Stainless steel AISI 304</t>
        </is>
      </c>
      <c r="G5" s="4" t="inlineStr">
        <is>
          <t>blue, max 40 bar / 95C</t>
        </is>
      </c>
      <c r="H5" s="4" t="inlineStr">
        <is>
          <t>The Squeezer, 1/2" BSP female (inlet and outlet), Stainless steel AISI 304, blue, max 40 bar / 95C</t>
        </is>
      </c>
      <c r="I5" s="4" t="inlineStr">
        <is>
          <t>03 - The Squeezer.pdf</t>
        </is>
      </c>
      <c r="J5" s="4" t="inlineStr">
        <is>
          <t>Confirmed</t>
        </is>
      </c>
      <c r="K5" s="4" t="n"/>
    </row>
    <row r="6">
      <c r="A6" s="4" t="inlineStr">
        <is>
          <t>Washdown / cleaning equipment</t>
        </is>
      </c>
      <c r="B6" s="4" t="inlineStr">
        <is>
          <t>BMFT001-B</t>
        </is>
      </c>
      <c r="C6" s="4" t="inlineStr">
        <is>
          <t>WD-BMFT001-B</t>
        </is>
      </c>
      <c r="D6" s="4" t="inlineStr">
        <is>
          <t>Blue Princess</t>
        </is>
      </c>
      <c r="E6" s="4" t="inlineStr">
        <is>
          <t>1/2" BSP female</t>
        </is>
      </c>
      <c r="F6" s="4" t="inlineStr">
        <is>
          <t>Brass HPb59-3</t>
        </is>
      </c>
      <c r="G6" s="4" t="inlineStr">
        <is>
          <t>basic model, without trigger guard</t>
        </is>
      </c>
      <c r="H6" s="4" t="inlineStr">
        <is>
          <t>Blue Princess, 1/2" BSP female, Brass HPb59-3, basic model, without trigger guard</t>
        </is>
      </c>
      <c r="I6" s="4" t="inlineStr">
        <is>
          <t>08 - Blue Princess.pdf</t>
        </is>
      </c>
      <c r="J6" s="4" t="inlineStr">
        <is>
          <t>Confirmed</t>
        </is>
      </c>
      <c r="K6" s="4" t="inlineStr">
        <is>
          <t>Identical spec also duplicated on page 05 (Recently Introduced) - not double counted</t>
        </is>
      </c>
    </row>
    <row r="7">
      <c r="A7" s="4" t="inlineStr">
        <is>
          <t>Washdown / cleaning equipment</t>
        </is>
      </c>
      <c r="B7" s="4" t="inlineStr">
        <is>
          <t>BMFTP11-B-PRIN</t>
        </is>
      </c>
      <c r="C7" s="4" t="inlineStr">
        <is>
          <t>WD-BMFTP11-B-PRIN</t>
        </is>
      </c>
      <c r="D7" s="4" t="inlineStr">
        <is>
          <t>Blue Princess</t>
        </is>
      </c>
      <c r="E7" s="4" t="inlineStr">
        <is>
          <t>1/2" BSP female</t>
        </is>
      </c>
      <c r="F7" s="4" t="inlineStr">
        <is>
          <t>Brass HPb59-3</t>
        </is>
      </c>
      <c r="G7" s="4" t="inlineStr">
        <is>
          <t>with trigger guard</t>
        </is>
      </c>
      <c r="H7" s="4" t="inlineStr">
        <is>
          <t>Blue Princess, 1/2" BSP female, Brass HPb59-3, with trigger guard</t>
        </is>
      </c>
      <c r="I7" s="4" t="inlineStr">
        <is>
          <t>08 - Blue Princess.pdf</t>
        </is>
      </c>
      <c r="J7" s="4" t="inlineStr">
        <is>
          <t>Confirmed</t>
        </is>
      </c>
      <c r="K7" s="4" t="inlineStr">
        <is>
          <t>Identical spec also duplicated on page 05</t>
        </is>
      </c>
    </row>
    <row r="8">
      <c r="A8" s="4" t="inlineStr">
        <is>
          <t>Washdown / cleaning equipment</t>
        </is>
      </c>
      <c r="B8" s="4" t="inlineStr">
        <is>
          <t>BRFT003-B</t>
        </is>
      </c>
      <c r="C8" s="4" t="inlineStr">
        <is>
          <t>WD-BRFT003-B</t>
        </is>
      </c>
      <c r="D8" s="4" t="inlineStr">
        <is>
          <t>Blue Princess</t>
        </is>
      </c>
      <c r="E8" s="4" t="inlineStr">
        <is>
          <t>1/2" BSP female</t>
        </is>
      </c>
      <c r="F8" s="4" t="inlineStr">
        <is>
          <t>316 stainless steel (AISI 316)</t>
        </is>
      </c>
      <c r="G8" s="4" t="inlineStr">
        <is>
          <t>basic model, without trigger guard</t>
        </is>
      </c>
      <c r="H8" s="4" t="inlineStr">
        <is>
          <t>Blue Princess, 1/2" BSP female, 316 stainless steel (AISI 316), basic model, without trigger guard</t>
        </is>
      </c>
      <c r="I8" s="4" t="inlineStr">
        <is>
          <t>08 - Blue Princess.pdf</t>
        </is>
      </c>
      <c r="J8" s="4" t="inlineStr">
        <is>
          <t>Confirmed</t>
        </is>
      </c>
      <c r="K8" s="4" t="inlineStr">
        <is>
          <t>Identical spec also duplicated on page 05</t>
        </is>
      </c>
    </row>
    <row r="9">
      <c r="A9" s="4" t="inlineStr">
        <is>
          <t>Washdown / cleaning equipment</t>
        </is>
      </c>
      <c r="B9" s="4" t="inlineStr">
        <is>
          <t>BRFTP13-B-PRIN</t>
        </is>
      </c>
      <c r="C9" s="4" t="inlineStr">
        <is>
          <t>WD-BRFTP13-B-PRIN</t>
        </is>
      </c>
      <c r="D9" s="4" t="inlineStr">
        <is>
          <t>Blue Princess</t>
        </is>
      </c>
      <c r="E9" s="4" t="inlineStr">
        <is>
          <t>1/2" BSP female</t>
        </is>
      </c>
      <c r="F9" s="4" t="inlineStr">
        <is>
          <t>316 stainless steel (AISI 316)</t>
        </is>
      </c>
      <c r="G9" s="4" t="inlineStr">
        <is>
          <t>with trigger guard - marked NEW in catalogue</t>
        </is>
      </c>
      <c r="H9" s="4" t="inlineStr">
        <is>
          <t>Blue Princess, 1/2" BSP female, 316 stainless steel (AISI 316), with trigger guard - marked NEW in catalogue</t>
        </is>
      </c>
      <c r="I9" s="4" t="inlineStr">
        <is>
          <t>08 - Blue Princess.pdf</t>
        </is>
      </c>
      <c r="J9" s="4" t="inlineStr">
        <is>
          <t>Confirmed</t>
        </is>
      </c>
      <c r="K9" s="4" t="inlineStr">
        <is>
          <t>Identical spec also duplicated on page 05</t>
        </is>
      </c>
    </row>
    <row r="10">
      <c r="A10" s="4" t="inlineStr">
        <is>
          <t>Washdown / cleaning equipment</t>
        </is>
      </c>
      <c r="B10" s="4" t="inlineStr">
        <is>
          <t>KLMN001-BL</t>
        </is>
      </c>
      <c r="C10" s="4" t="inlineStr">
        <is>
          <t>WD-KLMN001-BL</t>
        </is>
      </c>
      <c r="D10" s="4" t="inlineStr">
        <is>
          <t>Basic brass cleaning gun</t>
        </is>
      </c>
      <c r="E10" s="4" t="inlineStr">
        <is>
          <t>1/2" BSP female</t>
        </is>
      </c>
      <c r="F10" s="4" t="inlineStr">
        <is>
          <t>Brass</t>
        </is>
      </c>
      <c r="G10" s="4" t="inlineStr">
        <is>
          <t>black</t>
        </is>
      </c>
      <c r="H10" s="4" t="inlineStr">
        <is>
          <t>Basic brass cleaning gun, 1/2" BSP female, Brass, black</t>
        </is>
      </c>
      <c r="I10" s="4" t="inlineStr">
        <is>
          <t>09 - Basic brass cleaning gun.pdf</t>
        </is>
      </c>
      <c r="J10" s="4" t="inlineStr">
        <is>
          <t>Confirmed</t>
        </is>
      </c>
      <c r="K10" s="4" t="n"/>
    </row>
    <row r="11">
      <c r="A11" s="4" t="inlineStr">
        <is>
          <t>Washdown / cleaning equipment</t>
        </is>
      </c>
      <c r="B11" s="4" t="inlineStr">
        <is>
          <t>KLMN001-W</t>
        </is>
      </c>
      <c r="C11" s="4" t="inlineStr">
        <is>
          <t>WD-KLMN001-W</t>
        </is>
      </c>
      <c r="D11" s="4" t="inlineStr">
        <is>
          <t>Basic brass cleaning gun</t>
        </is>
      </c>
      <c r="E11" s="4" t="inlineStr">
        <is>
          <t>1/2" BSP female</t>
        </is>
      </c>
      <c r="F11" s="4" t="inlineStr">
        <is>
          <t>Brass</t>
        </is>
      </c>
      <c r="G11" s="4" t="inlineStr">
        <is>
          <t>white</t>
        </is>
      </c>
      <c r="H11" s="4" t="inlineStr">
        <is>
          <t>Basic brass cleaning gun, 1/2" BSP female, Brass, white</t>
        </is>
      </c>
      <c r="I11" s="4" t="inlineStr">
        <is>
          <t>09 - Basic brass cleaning gun.pdf</t>
        </is>
      </c>
      <c r="J11" s="4" t="inlineStr">
        <is>
          <t>Confirmed</t>
        </is>
      </c>
      <c r="K11" s="4" t="n"/>
    </row>
    <row r="12">
      <c r="A12" s="4" t="inlineStr">
        <is>
          <t>Washdown / cleaning equipment</t>
        </is>
      </c>
      <c r="B12" s="4" t="inlineStr">
        <is>
          <t>KLMN001-B</t>
        </is>
      </c>
      <c r="C12" s="4" t="inlineStr">
        <is>
          <t>WD-KLMN001-B</t>
        </is>
      </c>
      <c r="D12" s="4" t="inlineStr">
        <is>
          <t>Basic brass cleaning gun</t>
        </is>
      </c>
      <c r="E12" s="4" t="inlineStr">
        <is>
          <t>1/2" BSP female</t>
        </is>
      </c>
      <c r="F12" s="4" t="inlineStr">
        <is>
          <t>Brass</t>
        </is>
      </c>
      <c r="G12" s="4" t="inlineStr">
        <is>
          <t>blue</t>
        </is>
      </c>
      <c r="H12" s="4" t="inlineStr">
        <is>
          <t>Basic brass cleaning gun, 1/2" BSP female, Brass, blue</t>
        </is>
      </c>
      <c r="I12" s="4" t="inlineStr">
        <is>
          <t>09 - Basic brass cleaning gun.pdf</t>
        </is>
      </c>
      <c r="J12" s="4" t="inlineStr">
        <is>
          <t>Confirmed</t>
        </is>
      </c>
      <c r="K12" s="4" t="n"/>
    </row>
    <row r="13">
      <c r="A13" s="4" t="inlineStr">
        <is>
          <t>Washdown / cleaning equipment</t>
        </is>
      </c>
      <c r="B13" s="4" t="inlineStr">
        <is>
          <t>KLMN001-G</t>
        </is>
      </c>
      <c r="C13" s="4" t="inlineStr">
        <is>
          <t>WD-KLMN001-G</t>
        </is>
      </c>
      <c r="D13" s="4" t="inlineStr">
        <is>
          <t>Basic brass cleaning gun</t>
        </is>
      </c>
      <c r="E13" s="4" t="inlineStr">
        <is>
          <t>1/2" BSP female</t>
        </is>
      </c>
      <c r="F13" s="4" t="inlineStr">
        <is>
          <t>Brass</t>
        </is>
      </c>
      <c r="G13" s="4" t="inlineStr">
        <is>
          <t>green</t>
        </is>
      </c>
      <c r="H13" s="4" t="inlineStr">
        <is>
          <t>Basic brass cleaning gun, 1/2" BSP female, Brass, green</t>
        </is>
      </c>
      <c r="I13" s="4" t="inlineStr">
        <is>
          <t>09 - Basic brass cleaning gun.pdf</t>
        </is>
      </c>
      <c r="J13" s="4" t="inlineStr">
        <is>
          <t>Confirmed</t>
        </is>
      </c>
      <c r="K13" s="4" t="n"/>
    </row>
    <row r="14">
      <c r="A14" s="4" t="inlineStr">
        <is>
          <t>Washdown / cleaning equipment</t>
        </is>
      </c>
      <c r="B14" s="4" t="inlineStr">
        <is>
          <t>KLMN001-R</t>
        </is>
      </c>
      <c r="C14" s="4" t="inlineStr">
        <is>
          <t>WD-KLMN001-R</t>
        </is>
      </c>
      <c r="D14" s="4" t="inlineStr">
        <is>
          <t>Basic brass cleaning gun</t>
        </is>
      </c>
      <c r="E14" s="4" t="inlineStr">
        <is>
          <t>1/2" BSP female</t>
        </is>
      </c>
      <c r="F14" s="4" t="inlineStr">
        <is>
          <t>Brass</t>
        </is>
      </c>
      <c r="G14" s="4" t="inlineStr">
        <is>
          <t>red</t>
        </is>
      </c>
      <c r="H14" s="4" t="inlineStr">
        <is>
          <t>Basic brass cleaning gun, 1/2" BSP female, Brass, red</t>
        </is>
      </c>
      <c r="I14" s="4" t="inlineStr">
        <is>
          <t>09 - Basic brass cleaning gun.pdf</t>
        </is>
      </c>
      <c r="J14" s="4" t="inlineStr">
        <is>
          <t>Confirmed</t>
        </is>
      </c>
      <c r="K14" s="4" t="n"/>
    </row>
    <row r="15">
      <c r="A15" s="4" t="inlineStr">
        <is>
          <t>Washdown / cleaning equipment</t>
        </is>
      </c>
      <c r="B15" s="4" t="inlineStr">
        <is>
          <t>KLMN001-Y</t>
        </is>
      </c>
      <c r="C15" s="4" t="inlineStr">
        <is>
          <t>WD-KLMN001-Y</t>
        </is>
      </c>
      <c r="D15" s="4" t="inlineStr">
        <is>
          <t>Basic brass cleaning gun</t>
        </is>
      </c>
      <c r="E15" s="4" t="inlineStr">
        <is>
          <t>1/2" BSP female</t>
        </is>
      </c>
      <c r="F15" s="4" t="inlineStr">
        <is>
          <t>Brass</t>
        </is>
      </c>
      <c r="G15" s="4" t="inlineStr">
        <is>
          <t>yellow</t>
        </is>
      </c>
      <c r="H15" s="4" t="inlineStr">
        <is>
          <t>Basic brass cleaning gun, 1/2" BSP female, Brass, yellow</t>
        </is>
      </c>
      <c r="I15" s="4" t="inlineStr">
        <is>
          <t>09 - Basic brass cleaning gun.pdf</t>
        </is>
      </c>
      <c r="J15" s="4" t="inlineStr">
        <is>
          <t>Confirmed</t>
        </is>
      </c>
      <c r="K15" s="4" t="n"/>
    </row>
    <row r="16">
      <c r="A16" s="4" t="inlineStr">
        <is>
          <t>Washdown / cleaning equipment</t>
        </is>
      </c>
      <c r="B16" s="4" t="inlineStr">
        <is>
          <t>AKMN001-B</t>
        </is>
      </c>
      <c r="C16" s="4" t="inlineStr">
        <is>
          <t>WD-MN001-B</t>
        </is>
      </c>
      <c r="D16" s="4" t="inlineStr">
        <is>
          <t>Brass cleaning gun (insulated trigger)</t>
        </is>
      </c>
      <c r="E16" s="4" t="inlineStr">
        <is>
          <t>1/2" BSP female</t>
        </is>
      </c>
      <c r="F16" s="4" t="inlineStr">
        <is>
          <t>Brass HPb59-3</t>
        </is>
      </c>
      <c r="G16" s="4" t="inlineStr">
        <is>
          <t>blue (best-seller)</t>
        </is>
      </c>
      <c r="H16" s="4" t="inlineStr">
        <is>
          <t>Brass cleaning gun (insulated trigger), 1/2" BSP female, Brass HPb59-3, blue (best-seller)</t>
        </is>
      </c>
      <c r="I16" s="4" t="inlineStr">
        <is>
          <t>10 - Brass cleaning guns with insulated trigger.pdf</t>
        </is>
      </c>
      <c r="J16" s="4" t="inlineStr">
        <is>
          <t>Confirmed</t>
        </is>
      </c>
      <c r="K16" s="4" t="n"/>
    </row>
    <row r="17">
      <c r="A17" s="4" t="inlineStr">
        <is>
          <t>Washdown / cleaning equipment</t>
        </is>
      </c>
      <c r="B17" s="4" t="inlineStr">
        <is>
          <t>AKMN001-R</t>
        </is>
      </c>
      <c r="C17" s="4" t="inlineStr">
        <is>
          <t>WD-MN001-R</t>
        </is>
      </c>
      <c r="D17" s="4" t="inlineStr">
        <is>
          <t>Brass cleaning gun (insulated trigger)</t>
        </is>
      </c>
      <c r="E17" s="4" t="inlineStr">
        <is>
          <t>1/2" BSP female</t>
        </is>
      </c>
      <c r="F17" s="4" t="inlineStr">
        <is>
          <t>Brass HPb59-3</t>
        </is>
      </c>
      <c r="G17" s="4" t="inlineStr">
        <is>
          <t>red</t>
        </is>
      </c>
      <c r="H17" s="4" t="inlineStr">
        <is>
          <t>Brass cleaning gun (insulated trigger), 1/2" BSP female, Brass HPb59-3, red</t>
        </is>
      </c>
      <c r="I17" s="4" t="inlineStr">
        <is>
          <t>10 - Brass cleaning guns with insulated trigger.pdf</t>
        </is>
      </c>
      <c r="J17" s="4" t="inlineStr">
        <is>
          <t>Confirmed</t>
        </is>
      </c>
      <c r="K17" s="4" t="n"/>
    </row>
    <row r="18">
      <c r="A18" s="4" t="inlineStr">
        <is>
          <t>Washdown / cleaning equipment</t>
        </is>
      </c>
      <c r="B18" s="4" t="inlineStr">
        <is>
          <t>AKMN001-Y</t>
        </is>
      </c>
      <c r="C18" s="4" t="inlineStr">
        <is>
          <t>WD-MN001-Y</t>
        </is>
      </c>
      <c r="D18" s="4" t="inlineStr">
        <is>
          <t>Brass cleaning gun (insulated trigger)</t>
        </is>
      </c>
      <c r="E18" s="4" t="inlineStr">
        <is>
          <t>1/2" BSP female</t>
        </is>
      </c>
      <c r="F18" s="4" t="inlineStr">
        <is>
          <t>Brass HPb59-3</t>
        </is>
      </c>
      <c r="G18" s="4" t="inlineStr">
        <is>
          <t>yellow</t>
        </is>
      </c>
      <c r="H18" s="4" t="inlineStr">
        <is>
          <t>Brass cleaning gun (insulated trigger), 1/2" BSP female, Brass HPb59-3, yellow</t>
        </is>
      </c>
      <c r="I18" s="4" t="inlineStr">
        <is>
          <t>10 - Brass cleaning guns with insulated trigger.pdf</t>
        </is>
      </c>
      <c r="J18" s="4" t="inlineStr">
        <is>
          <t>Confirmed</t>
        </is>
      </c>
      <c r="K18" s="4" t="n"/>
    </row>
    <row r="19">
      <c r="A19" s="4" t="inlineStr">
        <is>
          <t>Washdown / cleaning equipment</t>
        </is>
      </c>
      <c r="B19" s="4" t="inlineStr">
        <is>
          <t>AKMN001-G</t>
        </is>
      </c>
      <c r="C19" s="4" t="inlineStr">
        <is>
          <t>WD-MN001-G</t>
        </is>
      </c>
      <c r="D19" s="4" t="inlineStr">
        <is>
          <t>Brass cleaning gun (insulated trigger)</t>
        </is>
      </c>
      <c r="E19" s="4" t="inlineStr">
        <is>
          <t>1/2" BSP female</t>
        </is>
      </c>
      <c r="F19" s="4" t="inlineStr">
        <is>
          <t>Brass HPb59-3</t>
        </is>
      </c>
      <c r="G19" s="4" t="inlineStr">
        <is>
          <t>green</t>
        </is>
      </c>
      <c r="H19" s="4" t="inlineStr">
        <is>
          <t>Brass cleaning gun (insulated trigger), 1/2" BSP female, Brass HPb59-3, green</t>
        </is>
      </c>
      <c r="I19" s="4" t="inlineStr">
        <is>
          <t>10 - Brass cleaning guns with insulated trigger.pdf</t>
        </is>
      </c>
      <c r="J19" s="4" t="inlineStr">
        <is>
          <t>Confirmed</t>
        </is>
      </c>
      <c r="K19" s="4" t="n"/>
    </row>
    <row r="20">
      <c r="A20" s="4" t="inlineStr">
        <is>
          <t>Washdown / cleaning equipment</t>
        </is>
      </c>
      <c r="B20" s="4" t="inlineStr">
        <is>
          <t>AKMN001-W</t>
        </is>
      </c>
      <c r="C20" s="4" t="inlineStr">
        <is>
          <t>WD-MN001-W</t>
        </is>
      </c>
      <c r="D20" s="4" t="inlineStr">
        <is>
          <t>Brass cleaning gun (insulated trigger)</t>
        </is>
      </c>
      <c r="E20" s="4" t="inlineStr">
        <is>
          <t>1/2" BSP female</t>
        </is>
      </c>
      <c r="F20" s="4" t="inlineStr">
        <is>
          <t>Brass HPb59-3</t>
        </is>
      </c>
      <c r="G20" s="4" t="inlineStr">
        <is>
          <t>white</t>
        </is>
      </c>
      <c r="H20" s="4" t="inlineStr">
        <is>
          <t>Brass cleaning gun (insulated trigger), 1/2" BSP female, Brass HPb59-3, white</t>
        </is>
      </c>
      <c r="I20" s="4" t="inlineStr">
        <is>
          <t>10 - Brass cleaning guns with insulated trigger.pdf</t>
        </is>
      </c>
      <c r="J20" s="4" t="inlineStr">
        <is>
          <t>Confirmed</t>
        </is>
      </c>
      <c r="K20" s="4" t="n"/>
    </row>
    <row r="21">
      <c r="A21" s="4" t="inlineStr">
        <is>
          <t>Washdown / cleaning equipment</t>
        </is>
      </c>
      <c r="B21" s="4" t="inlineStr">
        <is>
          <t>AKMN001-BL</t>
        </is>
      </c>
      <c r="C21" s="4" t="inlineStr">
        <is>
          <t>WD-MN001-BL</t>
        </is>
      </c>
      <c r="D21" s="4" t="inlineStr">
        <is>
          <t>Brass cleaning gun (insulated trigger)</t>
        </is>
      </c>
      <c r="E21" s="4" t="inlineStr">
        <is>
          <t>1/2" BSP female</t>
        </is>
      </c>
      <c r="F21" s="4" t="inlineStr">
        <is>
          <t>Brass HPb59-3</t>
        </is>
      </c>
      <c r="G21" s="4" t="inlineStr">
        <is>
          <t>black</t>
        </is>
      </c>
      <c r="H21" s="4" t="inlineStr">
        <is>
          <t>Brass cleaning gun (insulated trigger), 1/2" BSP female, Brass HPb59-3, black</t>
        </is>
      </c>
      <c r="I21" s="4" t="inlineStr">
        <is>
          <t>10 - Brass cleaning guns with insulated trigger.pdf</t>
        </is>
      </c>
      <c r="J21" s="4" t="inlineStr">
        <is>
          <t>Confirmed</t>
        </is>
      </c>
      <c r="K21" s="4" t="n"/>
    </row>
    <row r="22">
      <c r="A22" s="4" t="inlineStr">
        <is>
          <t>Washdown / cleaning equipment</t>
        </is>
      </c>
      <c r="B22" s="4" t="inlineStr">
        <is>
          <t>AKMNP01-B</t>
        </is>
      </c>
      <c r="C22" s="4" t="inlineStr">
        <is>
          <t>WD-MNP01-B</t>
        </is>
      </c>
      <c r="D22" s="4" t="inlineStr">
        <is>
          <t>Brass cleaning gun (insulated trigger)</t>
        </is>
      </c>
      <c r="E22" s="4" t="inlineStr">
        <is>
          <t>1/2" BSP female</t>
        </is>
      </c>
      <c r="F22" s="4" t="inlineStr">
        <is>
          <t>Brass HPb59-3</t>
        </is>
      </c>
      <c r="G22" s="4" t="inlineStr">
        <is>
          <t>blue, with trigger guard</t>
        </is>
      </c>
      <c r="H22" s="4" t="inlineStr">
        <is>
          <t>Brass cleaning gun (insulated trigger), 1/2" BSP female, Brass HPb59-3, blue, with trigger guard</t>
        </is>
      </c>
      <c r="I22" s="4" t="inlineStr">
        <is>
          <t>10 - Brass cleaning guns with insulated trigger.pdf</t>
        </is>
      </c>
      <c r="J22" s="4" t="inlineStr">
        <is>
          <t>Confirmed</t>
        </is>
      </c>
      <c r="K22" s="4" t="n"/>
    </row>
    <row r="23">
      <c r="A23" s="33" t="inlineStr">
        <is>
          <t>Washdown / cleaning equipment</t>
        </is>
      </c>
      <c r="B23" s="33" t="inlineStr">
        <is>
          <t>AKMNP01-B-SW12</t>
        </is>
      </c>
      <c r="C23" s="33" t="inlineStr">
        <is>
          <t>WD-MNP01-B-SW12</t>
        </is>
      </c>
      <c r="D23" s="33" t="inlineStr">
        <is>
          <t>Brass cleaning gun (insulated trigger)</t>
        </is>
      </c>
      <c r="E23" s="33" t="inlineStr">
        <is>
          <t>with ball bearing swivel, 1/2" BSP female</t>
        </is>
      </c>
      <c r="F23" s="33" t="inlineStr">
        <is>
          <t>Brass HPb59-3</t>
        </is>
      </c>
      <c r="G23" s="33" t="inlineStr">
        <is>
          <t>with trigger guard and swivel</t>
        </is>
      </c>
      <c r="H23" s="33" t="inlineStr">
        <is>
          <t>Brass cleaning gun (insulated trigger), with ball bearing swivel, 1/2" BSP female, Brass HPb59-3, with trigger guard and swivel</t>
        </is>
      </c>
      <c r="I23" s="33" t="inlineStr">
        <is>
          <t>10 - Brass cleaning guns with insulated trigger.pdf</t>
        </is>
      </c>
      <c r="J23" s="33" t="inlineStr">
        <is>
          <t>Needs review</t>
        </is>
      </c>
      <c r="K23" s="33" t="inlineStr">
        <is>
          <t>Page 2 technical-data table header spells this "AKMP01-B-SW12" (missing N) - likely a table typo, confirm before use</t>
        </is>
      </c>
    </row>
    <row r="24">
      <c r="A24" s="33" t="inlineStr">
        <is>
          <t>Washdown / cleaning equipment</t>
        </is>
      </c>
      <c r="B24" s="33" t="inlineStr">
        <is>
          <t>AKMNP01-B-SW34</t>
        </is>
      </c>
      <c r="C24" s="33" t="inlineStr">
        <is>
          <t>WD-MNP01-B-SW34</t>
        </is>
      </c>
      <c r="D24" s="33" t="inlineStr">
        <is>
          <t>Brass cleaning gun (insulated trigger)</t>
        </is>
      </c>
      <c r="E24" s="33" t="inlineStr">
        <is>
          <t>with ball bearing swivel, 3/4" BSP female</t>
        </is>
      </c>
      <c r="F24" s="33" t="inlineStr">
        <is>
          <t>Brass HPb59-3</t>
        </is>
      </c>
      <c r="G24" s="33" t="inlineStr">
        <is>
          <t>with trigger guard and swivel</t>
        </is>
      </c>
      <c r="H24" s="33" t="inlineStr">
        <is>
          <t>Brass cleaning gun (insulated trigger), with ball bearing swivel, 3/4" BSP female, Brass HPb59-3, with trigger guard and swivel</t>
        </is>
      </c>
      <c r="I24" s="33" t="inlineStr">
        <is>
          <t>10 - Brass cleaning guns with insulated trigger.pdf</t>
        </is>
      </c>
      <c r="J24" s="33" t="inlineStr">
        <is>
          <t>Needs review</t>
        </is>
      </c>
      <c r="K24" s="33" t="inlineStr">
        <is>
          <t>Page 2 technical-data table header spells this "AKMP01-B-SW34" (missing N) - likely a table typo, confirm before use</t>
        </is>
      </c>
    </row>
    <row r="25">
      <c r="A25" s="4" t="inlineStr">
        <is>
          <t>Washdown / cleaning equipment</t>
        </is>
      </c>
      <c r="B25" s="4" t="inlineStr">
        <is>
          <t>AKCN001-B</t>
        </is>
      </c>
      <c r="C25" s="4" t="inlineStr">
        <is>
          <t>WD-CN001-B</t>
        </is>
      </c>
      <c r="D25" s="4" t="inlineStr">
        <is>
          <t>Chrome-plated brass cleaning gun</t>
        </is>
      </c>
      <c r="E25" s="4" t="inlineStr">
        <is>
          <t>1/2" BSP female</t>
        </is>
      </c>
      <c r="F25" s="4" t="inlineStr">
        <is>
          <t>Brass HPb59-3 + chrome layer</t>
        </is>
      </c>
      <c r="G25" s="4" t="inlineStr">
        <is>
          <t>blue</t>
        </is>
      </c>
      <c r="H25" s="4" t="inlineStr">
        <is>
          <t>Chrome-plated brass cleaning gun, 1/2" BSP female, Brass HPb59-3 + chrome layer, blue</t>
        </is>
      </c>
      <c r="I25" s="4" t="inlineStr">
        <is>
          <t>11 - Chrome-plated brass cleaning guns.pdf</t>
        </is>
      </c>
      <c r="J25" s="4" t="inlineStr">
        <is>
          <t>Confirmed</t>
        </is>
      </c>
      <c r="K25" s="4" t="n"/>
    </row>
    <row r="26">
      <c r="A26" s="4" t="inlineStr">
        <is>
          <t>Washdown / cleaning equipment</t>
        </is>
      </c>
      <c r="B26" s="4" t="inlineStr">
        <is>
          <t>AKCNP01-B</t>
        </is>
      </c>
      <c r="C26" s="4" t="inlineStr">
        <is>
          <t>WD-CNP01-B</t>
        </is>
      </c>
      <c r="D26" s="4" t="inlineStr">
        <is>
          <t>Chrome-plated brass cleaning gun</t>
        </is>
      </c>
      <c r="E26" s="4" t="inlineStr">
        <is>
          <t>1/2" BSP female</t>
        </is>
      </c>
      <c r="F26" s="4" t="inlineStr">
        <is>
          <t>Brass HPb59-3 + chrome layer</t>
        </is>
      </c>
      <c r="G26" s="4" t="inlineStr">
        <is>
          <t>blue, with trigger guard</t>
        </is>
      </c>
      <c r="H26" s="4" t="inlineStr">
        <is>
          <t>Chrome-plated brass cleaning gun, 1/2" BSP female, Brass HPb59-3 + chrome layer, blue, with trigger guard</t>
        </is>
      </c>
      <c r="I26" s="4" t="inlineStr">
        <is>
          <t>11 - Chrome-plated brass cleaning guns.pdf</t>
        </is>
      </c>
      <c r="J26" s="4" t="inlineStr">
        <is>
          <t>Confirmed</t>
        </is>
      </c>
      <c r="K26" s="4" t="n"/>
    </row>
    <row r="27">
      <c r="A27" s="4" t="inlineStr">
        <is>
          <t>Washdown / cleaning equipment</t>
        </is>
      </c>
      <c r="B27" s="4" t="inlineStr">
        <is>
          <t>AKCNP01-W</t>
        </is>
      </c>
      <c r="C27" s="4" t="inlineStr">
        <is>
          <t>WD-CNP01-W</t>
        </is>
      </c>
      <c r="D27" s="4" t="inlineStr">
        <is>
          <t>Chrome-plated brass cleaning gun</t>
        </is>
      </c>
      <c r="E27" s="4" t="inlineStr">
        <is>
          <t>1/2" BSP female</t>
        </is>
      </c>
      <c r="F27" s="4" t="inlineStr">
        <is>
          <t>Brass HPb59-3 + chrome layer</t>
        </is>
      </c>
      <c r="G27" s="4" t="inlineStr">
        <is>
          <t>white, with trigger guard</t>
        </is>
      </c>
      <c r="H27" s="4" t="inlineStr">
        <is>
          <t>Chrome-plated brass cleaning gun, 1/2" BSP female, Brass HPb59-3 + chrome layer, white, with trigger guard</t>
        </is>
      </c>
      <c r="I27" s="4" t="inlineStr">
        <is>
          <t>11 - Chrome-plated brass cleaning guns.pdf</t>
        </is>
      </c>
      <c r="J27" s="4" t="inlineStr">
        <is>
          <t>Confirmed</t>
        </is>
      </c>
      <c r="K27" s="4" t="n"/>
    </row>
    <row r="28">
      <c r="A28" s="4" t="inlineStr">
        <is>
          <t>Washdown / cleaning equipment</t>
        </is>
      </c>
      <c r="B28" s="4" t="inlineStr">
        <is>
          <t>AKCNP01-W-U</t>
        </is>
      </c>
      <c r="C28" s="4" t="inlineStr">
        <is>
          <t>WD-CNP01-W-U</t>
        </is>
      </c>
      <c r="D28" s="4" t="inlineStr">
        <is>
          <t>Chrome-plated brass cleaning gun</t>
        </is>
      </c>
      <c r="E28" s="4" t="inlineStr">
        <is>
          <t>1/2" NPT female</t>
        </is>
      </c>
      <c r="F28" s="4" t="inlineStr">
        <is>
          <t>Brass HPb59-3 + chrome layer</t>
        </is>
      </c>
      <c r="G28" s="4" t="inlineStr">
        <is>
          <t>white, with trigger guard</t>
        </is>
      </c>
      <c r="H28" s="4" t="inlineStr">
        <is>
          <t>Chrome-plated brass cleaning gun, 1/2" NPT female, Brass HPb59-3 + chrome layer, white, with trigger guard</t>
        </is>
      </c>
      <c r="I28" s="4" t="inlineStr">
        <is>
          <t>11 - Chrome-plated brass cleaning guns.pdf</t>
        </is>
      </c>
      <c r="J28" s="4" t="inlineStr">
        <is>
          <t>Confirmed</t>
        </is>
      </c>
      <c r="K28" s="4" t="n"/>
    </row>
    <row r="29">
      <c r="A29" s="4" t="inlineStr">
        <is>
          <t>Washdown / cleaning equipment</t>
        </is>
      </c>
      <c r="B29" s="4" t="inlineStr">
        <is>
          <t>AKCNP01-B-SW12</t>
        </is>
      </c>
      <c r="C29" s="4" t="inlineStr">
        <is>
          <t>WD-CNP01-B-SW12</t>
        </is>
      </c>
      <c r="D29" s="4" t="inlineStr">
        <is>
          <t>Chrome-plated brass cleaning gun</t>
        </is>
      </c>
      <c r="E29" s="4" t="inlineStr">
        <is>
          <t>with swivel, 1/2" BSP female</t>
        </is>
      </c>
      <c r="F29" s="4" t="inlineStr">
        <is>
          <t>Brass HPb59-3 + chrome layer</t>
        </is>
      </c>
      <c r="G29" s="4" t="inlineStr">
        <is>
          <t>blue, with swivel</t>
        </is>
      </c>
      <c r="H29" s="4" t="inlineStr">
        <is>
          <t>Chrome-plated brass cleaning gun, with swivel, 1/2" BSP female, Brass HPb59-3 + chrome layer, blue, with swivel</t>
        </is>
      </c>
      <c r="I29" s="4" t="inlineStr">
        <is>
          <t>11 - Chrome-plated brass cleaning guns.pdf</t>
        </is>
      </c>
      <c r="J29" s="4" t="inlineStr">
        <is>
          <t>Confirmed</t>
        </is>
      </c>
      <c r="K29" s="4" t="n"/>
    </row>
    <row r="30">
      <c r="A30" s="33" t="inlineStr">
        <is>
          <t>Washdown / cleaning equipment</t>
        </is>
      </c>
      <c r="B30" s="33" t="inlineStr">
        <is>
          <t>AKCNP01-W-SW12</t>
        </is>
      </c>
      <c r="C30" s="33" t="inlineStr">
        <is>
          <t>WD-CNP01-W-SW12</t>
        </is>
      </c>
      <c r="D30" s="33" t="inlineStr">
        <is>
          <t>Chrome-plated brass cleaning gun</t>
        </is>
      </c>
      <c r="E30" s="33" t="inlineStr">
        <is>
          <t>with swivel, brochure states 3/4" BSP female</t>
        </is>
      </c>
      <c r="F30" s="33" t="inlineStr">
        <is>
          <t>Brass HPb59-3 + chrome layer</t>
        </is>
      </c>
      <c r="G30" s="33" t="inlineStr">
        <is>
          <t>white, with swivel</t>
        </is>
      </c>
      <c r="H30" s="33" t="inlineStr">
        <is>
          <t>Chrome-plated brass cleaning gun, with swivel, brochure states 3/4" BSP female, Brass HPb59-3 + chrome layer, white, with swivel</t>
        </is>
      </c>
      <c r="I30" s="33" t="inlineStr">
        <is>
          <t>11 - Chrome-plated brass cleaning guns.pdf</t>
        </is>
      </c>
      <c r="J30" s="33" t="inlineStr">
        <is>
          <t>Needs review</t>
        </is>
      </c>
      <c r="K30" s="33" t="inlineStr">
        <is>
          <t>Brochure states this swivel is 3/4" BSP, but the "-SW12" suffix means 1/2" everywhere else in this catalogue family (c.f. page 10 -SW12/-SW34 pattern) - likely should be AKCNP01-W-SW34; confirm with AKBO before quoting</t>
        </is>
      </c>
    </row>
    <row r="31">
      <c r="A31" s="4" t="inlineStr">
        <is>
          <t>Washdown / cleaning equipment</t>
        </is>
      </c>
      <c r="B31" s="4" t="inlineStr">
        <is>
          <t>AKRN001-B</t>
        </is>
      </c>
      <c r="C31" s="4" t="inlineStr">
        <is>
          <t>WD-RN001-B</t>
        </is>
      </c>
      <c r="D31" s="4" t="inlineStr">
        <is>
          <t>Stainless steel cleaning gun (AISI 316)</t>
        </is>
      </c>
      <c r="E31" s="4" t="inlineStr">
        <is>
          <t>1/2" BSP female</t>
        </is>
      </c>
      <c r="F31" s="4" t="inlineStr">
        <is>
          <t>Stainless steel AISI 316</t>
        </is>
      </c>
      <c r="G31" s="4" t="inlineStr">
        <is>
          <t>blue</t>
        </is>
      </c>
      <c r="H31" s="4" t="inlineStr">
        <is>
          <t>Stainless steel cleaning gun (AISI 316), 1/2" BSP female, Stainless steel AISI 316, blue</t>
        </is>
      </c>
      <c r="I31" s="4" t="inlineStr">
        <is>
          <t>12 - Stainless steel cleaning guns (AISI 316).pdf</t>
        </is>
      </c>
      <c r="J31" s="4" t="inlineStr">
        <is>
          <t>Confirmed</t>
        </is>
      </c>
      <c r="K31" s="4" t="n"/>
    </row>
    <row r="32">
      <c r="A32" s="4" t="inlineStr">
        <is>
          <t>Washdown / cleaning equipment</t>
        </is>
      </c>
      <c r="B32" s="4" t="inlineStr">
        <is>
          <t>AKRN001-W</t>
        </is>
      </c>
      <c r="C32" s="4" t="inlineStr">
        <is>
          <t>WD-RN001-W</t>
        </is>
      </c>
      <c r="D32" s="4" t="inlineStr">
        <is>
          <t>Stainless steel cleaning gun (AISI 316)</t>
        </is>
      </c>
      <c r="E32" s="4" t="inlineStr">
        <is>
          <t>1/2" BSP female</t>
        </is>
      </c>
      <c r="F32" s="4" t="inlineStr">
        <is>
          <t>Stainless steel AISI 316</t>
        </is>
      </c>
      <c r="G32" s="4" t="inlineStr">
        <is>
          <t>white</t>
        </is>
      </c>
      <c r="H32" s="4" t="inlineStr">
        <is>
          <t>Stainless steel cleaning gun (AISI 316), 1/2" BSP female, Stainless steel AISI 316, white</t>
        </is>
      </c>
      <c r="I32" s="4" t="inlineStr">
        <is>
          <t>12 - Stainless steel cleaning guns (AISI 316).pdf</t>
        </is>
      </c>
      <c r="J32" s="4" t="inlineStr">
        <is>
          <t>Confirmed</t>
        </is>
      </c>
      <c r="K32" s="4" t="n"/>
    </row>
    <row r="33">
      <c r="A33" s="33" t="inlineStr">
        <is>
          <t>Washdown / cleaning equipment</t>
        </is>
      </c>
      <c r="B33" s="33" t="inlineStr">
        <is>
          <t>AKRB001-BL</t>
        </is>
      </c>
      <c r="C33" s="33" t="inlineStr">
        <is>
          <t>WD-RB001-BL</t>
        </is>
      </c>
      <c r="D33" s="33" t="inlineStr">
        <is>
          <t>Stainless steel cleaning gun (AISI 316), high flow</t>
        </is>
      </c>
      <c r="E33" s="33" t="inlineStr">
        <is>
          <t>1/2" BSP female</t>
        </is>
      </c>
      <c r="F33" s="33" t="inlineStr">
        <is>
          <t>Stainless steel AISI 316</t>
        </is>
      </c>
      <c r="G33" s="33" t="inlineStr">
        <is>
          <t>black, high flow</t>
        </is>
      </c>
      <c r="H33" s="33" t="inlineStr">
        <is>
          <t>Stainless steel cleaning gun (AISI 316), high flow, 1/2" BSP female, Stainless steel AISI 316, black, high flow</t>
        </is>
      </c>
      <c r="I33" s="33" t="inlineStr">
        <is>
          <t>12 - Stainless steel cleaning guns (AISI 316).pdf</t>
        </is>
      </c>
      <c r="J33" s="33" t="inlineStr">
        <is>
          <t>Needs review</t>
        </is>
      </c>
      <c r="K33" s="33" t="inlineStr">
        <is>
          <t>Page 12 cross-references this as the high-flow AISI316 variant ("full spec page 16"), but page 16 (High-flow cleaning guns) only lists brass "AKMB*" numbers - no matching AKRB* found there. Confirm actual model number with AKBO</t>
        </is>
      </c>
    </row>
    <row r="34">
      <c r="A34" s="4" t="inlineStr">
        <is>
          <t>Washdown / cleaning equipment</t>
        </is>
      </c>
      <c r="B34" s="4" t="inlineStr">
        <is>
          <t>AKRNP01-B</t>
        </is>
      </c>
      <c r="C34" s="4" t="inlineStr">
        <is>
          <t>WD-RNP01-B</t>
        </is>
      </c>
      <c r="D34" s="4" t="inlineStr">
        <is>
          <t>Stainless steel cleaning gun (AISI 316)</t>
        </is>
      </c>
      <c r="E34" s="4" t="inlineStr">
        <is>
          <t>1/2" BSP female</t>
        </is>
      </c>
      <c r="F34" s="4" t="inlineStr">
        <is>
          <t>Stainless steel AISI 316</t>
        </is>
      </c>
      <c r="G34" s="4" t="inlineStr">
        <is>
          <t>blue, with trigger guard</t>
        </is>
      </c>
      <c r="H34" s="4" t="inlineStr">
        <is>
          <t>Stainless steel cleaning gun (AISI 316), 1/2" BSP female, Stainless steel AISI 316, blue, with trigger guard</t>
        </is>
      </c>
      <c r="I34" s="4" t="inlineStr">
        <is>
          <t>12 - Stainless steel cleaning guns (AISI 316).pdf</t>
        </is>
      </c>
      <c r="J34" s="4" t="inlineStr">
        <is>
          <t>Confirmed</t>
        </is>
      </c>
      <c r="K34" s="4" t="n"/>
    </row>
    <row r="35">
      <c r="A35" s="4" t="inlineStr">
        <is>
          <t>Washdown / cleaning equipment</t>
        </is>
      </c>
      <c r="B35" s="4" t="inlineStr">
        <is>
          <t>AKRNP01-W</t>
        </is>
      </c>
      <c r="C35" s="4" t="inlineStr">
        <is>
          <t>WD-RNP01-W</t>
        </is>
      </c>
      <c r="D35" s="4" t="inlineStr">
        <is>
          <t>Stainless steel cleaning gun (AISI 316)</t>
        </is>
      </c>
      <c r="E35" s="4" t="inlineStr">
        <is>
          <t>1/2" BSP female</t>
        </is>
      </c>
      <c r="F35" s="4" t="inlineStr">
        <is>
          <t>Stainless steel AISI 316</t>
        </is>
      </c>
      <c r="G35" s="4" t="inlineStr">
        <is>
          <t>white, with trigger guard</t>
        </is>
      </c>
      <c r="H35" s="4" t="inlineStr">
        <is>
          <t>Stainless steel cleaning gun (AISI 316), 1/2" BSP female, Stainless steel AISI 316, white, with trigger guard</t>
        </is>
      </c>
      <c r="I35" s="4" t="inlineStr">
        <is>
          <t>12 - Stainless steel cleaning guns (AISI 316).pdf</t>
        </is>
      </c>
      <c r="J35" s="4" t="inlineStr">
        <is>
          <t>Confirmed</t>
        </is>
      </c>
      <c r="K35" s="4" t="n"/>
    </row>
    <row r="36">
      <c r="A36" s="4" t="inlineStr">
        <is>
          <t>Washdown / cleaning equipment</t>
        </is>
      </c>
      <c r="B36" s="4" t="inlineStr">
        <is>
          <t>AKRNP01-B-U</t>
        </is>
      </c>
      <c r="C36" s="4" t="inlineStr">
        <is>
          <t>WD-RNP01-B-U</t>
        </is>
      </c>
      <c r="D36" s="4" t="inlineStr">
        <is>
          <t>Stainless steel cleaning gun (AISI 316)</t>
        </is>
      </c>
      <c r="E36" s="4" t="inlineStr">
        <is>
          <t>1/2" NPT female</t>
        </is>
      </c>
      <c r="F36" s="4" t="inlineStr">
        <is>
          <t>Stainless steel AISI 316</t>
        </is>
      </c>
      <c r="G36" s="4" t="inlineStr">
        <is>
          <t>blue, with trigger guard</t>
        </is>
      </c>
      <c r="H36" s="4" t="inlineStr">
        <is>
          <t>Stainless steel cleaning gun (AISI 316), 1/2" NPT female, Stainless steel AISI 316, blue, with trigger guard</t>
        </is>
      </c>
      <c r="I36" s="4" t="inlineStr">
        <is>
          <t>12 - Stainless steel cleaning guns (AISI 316).pdf</t>
        </is>
      </c>
      <c r="J36" s="4" t="inlineStr">
        <is>
          <t>Confirmed</t>
        </is>
      </c>
      <c r="K36" s="4" t="n"/>
    </row>
    <row r="37">
      <c r="A37" s="4" t="inlineStr">
        <is>
          <t>Washdown / cleaning equipment</t>
        </is>
      </c>
      <c r="B37" s="4" t="inlineStr">
        <is>
          <t>AKRNP01-W-U</t>
        </is>
      </c>
      <c r="C37" s="4" t="inlineStr">
        <is>
          <t>WD-RNP01-W-U</t>
        </is>
      </c>
      <c r="D37" s="4" t="inlineStr">
        <is>
          <t>Stainless steel cleaning gun (AISI 316)</t>
        </is>
      </c>
      <c r="E37" s="4" t="inlineStr">
        <is>
          <t>1/2" NPT female</t>
        </is>
      </c>
      <c r="F37" s="4" t="inlineStr">
        <is>
          <t>Stainless steel AISI 316</t>
        </is>
      </c>
      <c r="G37" s="4" t="inlineStr">
        <is>
          <t>white, with trigger guard</t>
        </is>
      </c>
      <c r="H37" s="4" t="inlineStr">
        <is>
          <t>Stainless steel cleaning gun (AISI 316), 1/2" NPT female, Stainless steel AISI 316, white, with trigger guard</t>
        </is>
      </c>
      <c r="I37" s="4" t="inlineStr">
        <is>
          <t>12 - Stainless steel cleaning guns (AISI 316).pdf</t>
        </is>
      </c>
      <c r="J37" s="4" t="inlineStr">
        <is>
          <t>Confirmed</t>
        </is>
      </c>
      <c r="K37" s="4" t="n"/>
    </row>
    <row r="38">
      <c r="A38" s="4" t="inlineStr">
        <is>
          <t>Washdown / cleaning equipment</t>
        </is>
      </c>
      <c r="B38" s="4" t="inlineStr">
        <is>
          <t>AKRNP01-B-SW12</t>
        </is>
      </c>
      <c r="C38" s="4" t="inlineStr">
        <is>
          <t>WD-RNP01-B-SW12</t>
        </is>
      </c>
      <c r="D38" s="4" t="inlineStr">
        <is>
          <t>Stainless steel cleaning gun (AISI 316)</t>
        </is>
      </c>
      <c r="E38" s="4" t="inlineStr">
        <is>
          <t>with stainless steel swivel, 1/2" BSP female</t>
        </is>
      </c>
      <c r="F38" s="4" t="inlineStr">
        <is>
          <t>Stainless steel AISI 316</t>
        </is>
      </c>
      <c r="G38" s="4" t="inlineStr">
        <is>
          <t>blue, with trigger guard and swivel</t>
        </is>
      </c>
      <c r="H38" s="4" t="inlineStr">
        <is>
          <t>Stainless steel cleaning gun (AISI 316), with stainless steel swivel, 1/2" BSP female, Stainless steel AISI 316, blue, with trigger guard and swivel</t>
        </is>
      </c>
      <c r="I38" s="4" t="inlineStr">
        <is>
          <t>12 - Stainless steel cleaning guns (AISI 316).pdf</t>
        </is>
      </c>
      <c r="J38" s="4" t="inlineStr">
        <is>
          <t>Confirmed</t>
        </is>
      </c>
      <c r="K38" s="4" t="n"/>
    </row>
    <row r="39">
      <c r="A39" s="4" t="inlineStr">
        <is>
          <t>Washdown / cleaning equipment</t>
        </is>
      </c>
      <c r="B39" s="4" t="inlineStr">
        <is>
          <t>AKRNP01-W-SW12</t>
        </is>
      </c>
      <c r="C39" s="4" t="inlineStr">
        <is>
          <t>WD-RNP01-W-SW12</t>
        </is>
      </c>
      <c r="D39" s="4" t="inlineStr">
        <is>
          <t>Stainless steel cleaning gun (AISI 316)</t>
        </is>
      </c>
      <c r="E39" s="4" t="inlineStr">
        <is>
          <t>with stainless steel swivel, 1/2" BSP female</t>
        </is>
      </c>
      <c r="F39" s="4" t="inlineStr">
        <is>
          <t>Stainless steel AISI 316</t>
        </is>
      </c>
      <c r="G39" s="4" t="inlineStr">
        <is>
          <t>white, with trigger guard and swivel</t>
        </is>
      </c>
      <c r="H39" s="4" t="inlineStr">
        <is>
          <t>Stainless steel cleaning gun (AISI 316), with stainless steel swivel, 1/2" BSP female, Stainless steel AISI 316, white, with trigger guard and swivel</t>
        </is>
      </c>
      <c r="I39" s="4" t="inlineStr">
        <is>
          <t>12 - Stainless steel cleaning guns (AISI 316).pdf</t>
        </is>
      </c>
      <c r="J39" s="4" t="inlineStr">
        <is>
          <t>Confirmed</t>
        </is>
      </c>
      <c r="K39" s="4" t="n"/>
    </row>
    <row r="40">
      <c r="A40" s="4" t="inlineStr">
        <is>
          <t>Washdown / cleaning equipment</t>
        </is>
      </c>
      <c r="B40" s="4" t="inlineStr">
        <is>
          <t>AKNN001-B</t>
        </is>
      </c>
      <c r="C40" s="4" t="inlineStr">
        <is>
          <t>WD-NN001-B</t>
        </is>
      </c>
      <c r="D40" s="4" t="inlineStr">
        <is>
          <t>Lightweight cleaning gun</t>
        </is>
      </c>
      <c r="E40" s="4" t="inlineStr">
        <is>
          <t>1/2" BSP female</t>
        </is>
      </c>
      <c r="F40" s="4" t="inlineStr">
        <is>
          <t>Plastic PA66 (fibreglass-reinforced)</t>
        </is>
      </c>
      <c r="G40" s="4" t="inlineStr">
        <is>
          <t>without trigger guard</t>
        </is>
      </c>
      <c r="H40" s="4" t="inlineStr">
        <is>
          <t>Lightweight cleaning gun, 1/2" BSP female, Plastic PA66 (fibreglass-reinforced), without trigger guard</t>
        </is>
      </c>
      <c r="I40" s="4" t="inlineStr">
        <is>
          <t>13 - Lightweight cleaning gun.pdf</t>
        </is>
      </c>
      <c r="J40" s="4" t="inlineStr">
        <is>
          <t>Confirmed</t>
        </is>
      </c>
      <c r="K40" s="4" t="n"/>
    </row>
    <row r="41">
      <c r="A41" s="4" t="inlineStr">
        <is>
          <t>Washdown / cleaning equipment</t>
        </is>
      </c>
      <c r="B41" s="4" t="inlineStr">
        <is>
          <t>AKNNP01-B</t>
        </is>
      </c>
      <c r="C41" s="4" t="inlineStr">
        <is>
          <t>WD-NNP01-B</t>
        </is>
      </c>
      <c r="D41" s="4" t="inlineStr">
        <is>
          <t>Lightweight cleaning gun</t>
        </is>
      </c>
      <c r="E41" s="4" t="inlineStr">
        <is>
          <t>1/2" BSP female</t>
        </is>
      </c>
      <c r="F41" s="4" t="inlineStr">
        <is>
          <t>Plastic PA66 (fibreglass-reinforced)</t>
        </is>
      </c>
      <c r="G41" s="4" t="inlineStr">
        <is>
          <t>with trigger guard</t>
        </is>
      </c>
      <c r="H41" s="4" t="inlineStr">
        <is>
          <t>Lightweight cleaning gun, 1/2" BSP female, Plastic PA66 (fibreglass-reinforced), with trigger guard</t>
        </is>
      </c>
      <c r="I41" s="4" t="inlineStr">
        <is>
          <t>13 - Lightweight cleaning gun.pdf</t>
        </is>
      </c>
      <c r="J41" s="4" t="inlineStr">
        <is>
          <t>Confirmed</t>
        </is>
      </c>
      <c r="K41" s="4" t="n"/>
    </row>
    <row r="42">
      <c r="A42" s="4" t="inlineStr">
        <is>
          <t>Washdown / cleaning equipment</t>
        </is>
      </c>
      <c r="B42" s="4" t="inlineStr">
        <is>
          <t>AKNL002-B</t>
        </is>
      </c>
      <c r="C42" s="4" t="inlineStr">
        <is>
          <t>WD-NL002-B</t>
        </is>
      </c>
      <c r="D42" s="4" t="inlineStr">
        <is>
          <t>Lightweight cleaning gun</t>
        </is>
      </c>
      <c r="E42" s="4" t="inlineStr">
        <is>
          <t>1/2" BSP male at outlet, for lance mounting</t>
        </is>
      </c>
      <c r="F42" s="4" t="inlineStr">
        <is>
          <t>Plastic PA66</t>
        </is>
      </c>
      <c r="G42" s="4" t="inlineStr">
        <is>
          <t>for lance mounting</t>
        </is>
      </c>
      <c r="H42" s="4" t="inlineStr">
        <is>
          <t>Lightweight cleaning gun, 1/2" BSP male at outlet, for lance mounting, Plastic PA66, for lance mounting</t>
        </is>
      </c>
      <c r="I42" s="4" t="inlineStr">
        <is>
          <t>13 - Lightweight cleaning gun.pdf / 29 - Cleaning guns for lance mounting.pdf</t>
        </is>
      </c>
      <c r="J42" s="4" t="inlineStr">
        <is>
          <t>Confirmed</t>
        </is>
      </c>
      <c r="K42" s="4" t="n"/>
    </row>
    <row r="43">
      <c r="A43" s="4" t="inlineStr">
        <is>
          <t>Washdown / cleaning equipment</t>
        </is>
      </c>
      <c r="B43" s="4" t="inlineStr">
        <is>
          <t>AKNLCP2-B</t>
        </is>
      </c>
      <c r="C43" s="4" t="inlineStr">
        <is>
          <t>WD-NLCP2-B</t>
        </is>
      </c>
      <c r="D43" s="4" t="inlineStr">
        <is>
          <t>Lightweight cleaning gun</t>
        </is>
      </c>
      <c r="E43" s="4" t="inlineStr">
        <is>
          <t>stainless steel quick coupling DN12 + protection at outlet</t>
        </is>
      </c>
      <c r="F43" s="4" t="inlineStr">
        <is>
          <t>Plastic PA66</t>
        </is>
      </c>
      <c r="G43" s="4" t="inlineStr">
        <is>
          <t>quick-coupling outlet</t>
        </is>
      </c>
      <c r="H43" s="4" t="inlineStr">
        <is>
          <t>Lightweight cleaning gun, stainless steel quick coupling DN12 + protection at outlet, Plastic PA66, quick-coupling outlet</t>
        </is>
      </c>
      <c r="I43" s="4" t="inlineStr">
        <is>
          <t>13 - Lightweight cleaning gun.pdf / 29 - Cleaning guns for lance mounting.pdf</t>
        </is>
      </c>
      <c r="J43" s="4" t="inlineStr">
        <is>
          <t>Confirmed</t>
        </is>
      </c>
      <c r="K43" s="4" t="n"/>
    </row>
    <row r="44">
      <c r="A44" s="4" t="inlineStr">
        <is>
          <t>Washdown / cleaning equipment</t>
        </is>
      </c>
      <c r="B44" s="4" t="inlineStr">
        <is>
          <t>AKNLFW2</t>
        </is>
      </c>
      <c r="C44" s="4" t="inlineStr">
        <is>
          <t>WD-NLFW2</t>
        </is>
      </c>
      <c r="D44" s="4" t="inlineStr">
        <is>
          <t>Lightweight cleaning gun</t>
        </is>
      </c>
      <c r="E44" s="4" t="inlineStr">
        <is>
          <t>1/2" BSP female inlet, fixed foam lance at outlet</t>
        </is>
      </c>
      <c r="F44" s="4" t="inlineStr">
        <is>
          <t>Fibreglass-reinforced PA66 (FDA)</t>
        </is>
      </c>
      <c r="G44" s="4" t="inlineStr">
        <is>
          <t>fixed foam-lance combination</t>
        </is>
      </c>
      <c r="H44" s="4" t="inlineStr">
        <is>
          <t>Lightweight cleaning gun, 1/2" BSP female inlet, fixed foam lance at outlet, Fibreglass-reinforced PA66 (FDA), fixed foam-lance combination</t>
        </is>
      </c>
      <c r="I44" s="4" t="inlineStr">
        <is>
          <t>13 - Lightweight cleaning gun.pdf / 30 - Lightweight foam gun.pdf</t>
        </is>
      </c>
      <c r="J44" s="4" t="inlineStr">
        <is>
          <t>Confirmed</t>
        </is>
      </c>
      <c r="K44" s="4" t="n"/>
    </row>
    <row r="45">
      <c r="A45" s="33" t="inlineStr">
        <is>
          <t>Washdown / cleaning equipment</t>
        </is>
      </c>
      <c r="B45" s="33" t="inlineStr">
        <is>
          <t>AKNNA02-B</t>
        </is>
      </c>
      <c r="C45" s="33" t="inlineStr">
        <is>
          <t>WD-NNA02-B</t>
        </is>
      </c>
      <c r="D45" s="33" t="inlineStr">
        <is>
          <t>Lightweight cleaning gun</t>
        </is>
      </c>
      <c r="E45" s="33" t="inlineStr">
        <is>
          <t>chrome-plated brass adapter at outlet</t>
        </is>
      </c>
      <c r="F45" s="33" t="inlineStr">
        <is>
          <t>Plastic PA66</t>
        </is>
      </c>
      <c r="G45" s="33" t="n"/>
      <c r="H45" s="33" t="inlineStr">
        <is>
          <t>Lightweight cleaning gun, chrome-plated brass adapter at outlet, Plastic PA66</t>
        </is>
      </c>
      <c r="I45" s="33" t="inlineStr">
        <is>
          <t>13 - Lightweight cleaning gun.pdf</t>
        </is>
      </c>
      <c r="J45" s="33" t="inlineStr">
        <is>
          <t>Needs review</t>
        </is>
      </c>
      <c r="K45" s="33" t="inlineStr">
        <is>
          <t>No dedicated spec page found for this variant in this brochure set - confirm material/technical data with AKBO</t>
        </is>
      </c>
    </row>
    <row r="46">
      <c r="A46" s="4" t="inlineStr">
        <is>
          <t>Washdown / cleaning equipment</t>
        </is>
      </c>
      <c r="B46" s="4" t="inlineStr">
        <is>
          <t>BABTN01-B</t>
        </is>
      </c>
      <c r="C46" s="4" t="inlineStr">
        <is>
          <t>WD-BABTN01-B</t>
        </is>
      </c>
      <c r="D46" s="4" t="inlineStr">
        <is>
          <t>Baby series cleaning gun</t>
        </is>
      </c>
      <c r="E46" s="4" t="inlineStr">
        <is>
          <t>1/2" BSP female inlet</t>
        </is>
      </c>
      <c r="F46" s="4" t="inlineStr">
        <is>
          <t>Aluminium</t>
        </is>
      </c>
      <c r="G46" s="4" t="inlineStr">
        <is>
          <t>rear trigger, compact</t>
        </is>
      </c>
      <c r="H46" s="4" t="inlineStr">
        <is>
          <t>Baby series cleaning gun, 1/2" BSP female inlet, Aluminium, rear trigger, compact</t>
        </is>
      </c>
      <c r="I46" s="4" t="inlineStr">
        <is>
          <t>14 - Baby series cleaning guns.pdf</t>
        </is>
      </c>
      <c r="J46" s="4" t="inlineStr">
        <is>
          <t>Confirmed</t>
        </is>
      </c>
      <c r="K46" s="4" t="n"/>
    </row>
    <row r="47">
      <c r="A47" s="4" t="inlineStr">
        <is>
          <t>Washdown / cleaning equipment</t>
        </is>
      </c>
      <c r="B47" s="4" t="inlineStr">
        <is>
          <t>BMBTN01-B</t>
        </is>
      </c>
      <c r="C47" s="4" t="inlineStr">
        <is>
          <t>WD-BMBTN01-B</t>
        </is>
      </c>
      <c r="D47" s="4" t="inlineStr">
        <is>
          <t>Baby series cleaning gun</t>
        </is>
      </c>
      <c r="E47" s="4" t="inlineStr">
        <is>
          <t>1/2" BSP female inlet</t>
        </is>
      </c>
      <c r="F47" s="4" t="inlineStr">
        <is>
          <t>Brass HPb59-3</t>
        </is>
      </c>
      <c r="G47" s="4" t="inlineStr">
        <is>
          <t>rear trigger, compact</t>
        </is>
      </c>
      <c r="H47" s="4" t="inlineStr">
        <is>
          <t>Baby series cleaning gun, 1/2" BSP female inlet, Brass HPb59-3, rear trigger, compact</t>
        </is>
      </c>
      <c r="I47" s="4" t="inlineStr">
        <is>
          <t>14 - Baby series cleaning guns.pdf</t>
        </is>
      </c>
      <c r="J47" s="4" t="inlineStr">
        <is>
          <t>Confirmed</t>
        </is>
      </c>
      <c r="K47" s="4" t="n"/>
    </row>
    <row r="48">
      <c r="A48" s="4" t="inlineStr">
        <is>
          <t>Washdown / cleaning equipment</t>
        </is>
      </c>
      <c r="B48" s="4" t="inlineStr">
        <is>
          <t>BRBTN01-B</t>
        </is>
      </c>
      <c r="C48" s="4" t="inlineStr">
        <is>
          <t>WD-BRBTN01-B</t>
        </is>
      </c>
      <c r="D48" s="4" t="inlineStr">
        <is>
          <t>Baby series cleaning gun</t>
        </is>
      </c>
      <c r="E48" s="4" t="inlineStr">
        <is>
          <t>1/2" BSP female inlet</t>
        </is>
      </c>
      <c r="F48" s="4" t="inlineStr">
        <is>
          <t>Stainless steel X5CrNiMo17-12-2 (AISI 316)</t>
        </is>
      </c>
      <c r="G48" s="4" t="inlineStr">
        <is>
          <t>rear trigger, compact</t>
        </is>
      </c>
      <c r="H48" s="4" t="inlineStr">
        <is>
          <t>Baby series cleaning gun, 1/2" BSP female inlet, Stainless steel X5CrNiMo17-12-2 (AISI 316), rear trigger, compact</t>
        </is>
      </c>
      <c r="I48" s="4" t="inlineStr">
        <is>
          <t>14 - Baby series cleaning guns.pdf</t>
        </is>
      </c>
      <c r="J48" s="4" t="inlineStr">
        <is>
          <t>Confirmed</t>
        </is>
      </c>
      <c r="K48" s="4" t="n"/>
    </row>
    <row r="49">
      <c r="A49" s="4" t="inlineStr">
        <is>
          <t>Washdown / cleaning equipment</t>
        </is>
      </c>
      <c r="B49" s="4" t="inlineStr">
        <is>
          <t>AKMB001-BL</t>
        </is>
      </c>
      <c r="C49" s="4" t="inlineStr">
        <is>
          <t>WD-MB001-BL</t>
        </is>
      </c>
      <c r="D49" s="4" t="inlineStr">
        <is>
          <t>High-flow cleaning gun</t>
        </is>
      </c>
      <c r="E49" s="4" t="inlineStr">
        <is>
          <t>1/2" BSP female</t>
        </is>
      </c>
      <c r="F49" s="4" t="inlineStr">
        <is>
          <t>Brass</t>
        </is>
      </c>
      <c r="G49" s="4" t="inlineStr">
        <is>
          <t>black, high flow</t>
        </is>
      </c>
      <c r="H49" s="4" t="inlineStr">
        <is>
          <t>High-flow cleaning gun, 1/2" BSP female, Brass, black, high flow</t>
        </is>
      </c>
      <c r="I49" s="4" t="inlineStr">
        <is>
          <t>16 - High-flow cleaning guns.pdf</t>
        </is>
      </c>
      <c r="J49" s="4" t="inlineStr">
        <is>
          <t>Confirmed</t>
        </is>
      </c>
      <c r="K49" s="4" t="n"/>
    </row>
    <row r="50">
      <c r="A50" s="4" t="inlineStr">
        <is>
          <t>Washdown / cleaning equipment</t>
        </is>
      </c>
      <c r="B50" s="4" t="inlineStr">
        <is>
          <t>AKMBP01-BL</t>
        </is>
      </c>
      <c r="C50" s="4" t="inlineStr">
        <is>
          <t>WD-MBP01-BL</t>
        </is>
      </c>
      <c r="D50" s="4" t="inlineStr">
        <is>
          <t>High-flow cleaning gun</t>
        </is>
      </c>
      <c r="E50" s="4" t="inlineStr">
        <is>
          <t>1/2" BSP female</t>
        </is>
      </c>
      <c r="F50" s="4" t="inlineStr">
        <is>
          <t>Brass</t>
        </is>
      </c>
      <c r="G50" s="4" t="inlineStr">
        <is>
          <t>black, with trigger guard, high flow</t>
        </is>
      </c>
      <c r="H50" s="4" t="inlineStr">
        <is>
          <t>High-flow cleaning gun, 1/2" BSP female, Brass, black, with trigger guard, high flow</t>
        </is>
      </c>
      <c r="I50" s="4" t="inlineStr">
        <is>
          <t>16 - High-flow cleaning guns.pdf</t>
        </is>
      </c>
      <c r="J50" s="4" t="inlineStr">
        <is>
          <t>Confirmed</t>
        </is>
      </c>
      <c r="K50" s="4" t="n"/>
    </row>
    <row r="51">
      <c r="A51" s="33" t="inlineStr">
        <is>
          <t>Washdown / cleaning equipment</t>
        </is>
      </c>
      <c r="B51" s="33" t="inlineStr">
        <is>
          <t>AKMBP01-B-SWM14-3/4</t>
        </is>
      </c>
      <c r="C51" s="33" t="inlineStr">
        <is>
          <t>WD-MBP01-B-SWM14-3/4</t>
        </is>
      </c>
      <c r="D51" s="33" t="inlineStr">
        <is>
          <t>High-flow cleaning gun</t>
        </is>
      </c>
      <c r="E51" s="33" t="inlineStr">
        <is>
          <t>with swivel, 3/4" BSP female</t>
        </is>
      </c>
      <c r="F51" s="33" t="inlineStr">
        <is>
          <t>Brass</t>
        </is>
      </c>
      <c r="G51" s="33" t="inlineStr">
        <is>
          <t>with trigger guard and swivel</t>
        </is>
      </c>
      <c r="H51" s="33" t="inlineStr">
        <is>
          <t>High-flow cleaning gun, with swivel, 3/4" BSP female, Brass, with trigger guard and swivel</t>
        </is>
      </c>
      <c r="I51" s="33" t="inlineStr">
        <is>
          <t>16 - High-flow cleaning guns.pdf</t>
        </is>
      </c>
      <c r="J51" s="33" t="inlineStr">
        <is>
          <t>Needs review</t>
        </is>
      </c>
      <c r="K51" s="33" t="inlineStr">
        <is>
          <t>This model number is written three different ways on this page (AKMBP01-B-SWM14-3/4 in heading/caption vs AKMBP01-BL-SW14-34 in the weight bullet) - confirm the correct number with AKBO</t>
        </is>
      </c>
    </row>
    <row r="52">
      <c r="A52" s="33" t="inlineStr">
        <is>
          <t>Washdown / cleaning equipment</t>
        </is>
      </c>
      <c r="B52" s="33" t="inlineStr">
        <is>
          <t>AKRHP01-R</t>
        </is>
      </c>
      <c r="C52" s="33" t="inlineStr">
        <is>
          <t>WD-RHP01-R</t>
        </is>
      </c>
      <c r="D52" s="33" t="inlineStr">
        <is>
          <t>Hot-water cleaning gun (AISI 316)</t>
        </is>
      </c>
      <c r="E52" s="33" t="inlineStr">
        <is>
          <t>1/2" BSP female</t>
        </is>
      </c>
      <c r="F52" s="33" t="inlineStr">
        <is>
          <t>Stainless steel AISI 316</t>
        </is>
      </c>
      <c r="G52" s="33" t="inlineStr">
        <is>
          <t>red, base model</t>
        </is>
      </c>
      <c r="H52" s="33" t="inlineStr">
        <is>
          <t>Hot-water cleaning gun (AISI 316), 1/2" BSP female, Stainless steel AISI 316, red, base model</t>
        </is>
      </c>
      <c r="I52" s="33" t="inlineStr">
        <is>
          <t>17 - Cleaning guns for hot water in stainless steel (AISI 316).pdf</t>
        </is>
      </c>
      <c r="J52" s="33" t="inlineStr">
        <is>
          <t>Needs review</t>
        </is>
      </c>
      <c r="K52" s="33" t="inlineStr">
        <is>
          <t>Body text calls the base model "AKRHP01-R" but the technical-data table heads its column "AKRHP02-R" - confirm which is correct with AKBO</t>
        </is>
      </c>
    </row>
    <row r="53">
      <c r="A53" s="33" t="inlineStr">
        <is>
          <t>Washdown / cleaning equipment</t>
        </is>
      </c>
      <c r="B53" s="33" t="inlineStr">
        <is>
          <t>AKRHP02-R-L40</t>
        </is>
      </c>
      <c r="C53" s="33" t="inlineStr">
        <is>
          <t>WD-RHP02-R-L40</t>
        </is>
      </c>
      <c r="D53" s="33" t="inlineStr">
        <is>
          <t>Hot-water cleaning gun (AISI 316), lance version</t>
        </is>
      </c>
      <c r="E53" s="33" t="inlineStr">
        <is>
          <t>1/2" BSP female, 40cm lance</t>
        </is>
      </c>
      <c r="F53" s="33" t="inlineStr">
        <is>
          <t>Stainless steel AISI 316</t>
        </is>
      </c>
      <c r="G53" s="33" t="inlineStr">
        <is>
          <t>red, with lance</t>
        </is>
      </c>
      <c r="H53" s="33" t="inlineStr">
        <is>
          <t>Hot-water cleaning gun (AISI 316), lance version, 1/2" BSP female, 40cm lance, Stainless steel AISI 316, red, with lance</t>
        </is>
      </c>
      <c r="I53" s="33" t="inlineStr">
        <is>
          <t>17 - Cleaning guns for hot water in stainless steel (AISI 316).pdf</t>
        </is>
      </c>
      <c r="J53" s="33" t="inlineStr">
        <is>
          <t>Needs review</t>
        </is>
      </c>
      <c r="K53" s="33" t="inlineStr">
        <is>
          <t>Table heading drops the "-R-" and reads "AKRHP02-L40" - confirm exact number with AKBO</t>
        </is>
      </c>
    </row>
    <row r="54">
      <c r="A54" s="4" t="inlineStr">
        <is>
          <t>Washdown / cleaning equipment</t>
        </is>
      </c>
      <c r="B54" s="4" t="inlineStr">
        <is>
          <t>AKRHPB1-R</t>
        </is>
      </c>
      <c r="C54" s="4" t="inlineStr">
        <is>
          <t>WD-RHPB1-R</t>
        </is>
      </c>
      <c r="D54" s="4" t="inlineStr">
        <is>
          <t>Hot-water cleaning gun (AISI 316), high flow</t>
        </is>
      </c>
      <c r="E54" s="4" t="inlineStr">
        <is>
          <t>1/2" BSP female</t>
        </is>
      </c>
      <c r="F54" s="4" t="inlineStr">
        <is>
          <t>Stainless steel AISI 316</t>
        </is>
      </c>
      <c r="G54" s="4" t="inlineStr">
        <is>
          <t>red, high flow</t>
        </is>
      </c>
      <c r="H54" s="4" t="inlineStr">
        <is>
          <t>Hot-water cleaning gun (AISI 316), high flow, 1/2" BSP female, Stainless steel AISI 316, red, high flow</t>
        </is>
      </c>
      <c r="I54" s="4" t="inlineStr">
        <is>
          <t>17 - Cleaning guns for hot water in stainless steel (AISI 316).pdf</t>
        </is>
      </c>
      <c r="J54" s="4" t="inlineStr">
        <is>
          <t>Confirmed</t>
        </is>
      </c>
      <c r="K54" s="4" t="n"/>
    </row>
    <row r="55">
      <c r="A55" s="4" t="inlineStr">
        <is>
          <t>Washdown / cleaning equipment</t>
        </is>
      </c>
      <c r="B55" s="4" t="inlineStr">
        <is>
          <t>AKRNP01-BL-EX</t>
        </is>
      </c>
      <c r="C55" s="4" t="inlineStr">
        <is>
          <t>WD-RNP01-BL-EX</t>
        </is>
      </c>
      <c r="D55" s="4" t="inlineStr">
        <is>
          <t>ATEX cleaning gun</t>
        </is>
      </c>
      <c r="E55" s="4" t="inlineStr">
        <is>
          <t>1/2" BSP female</t>
        </is>
      </c>
      <c r="F55" s="4" t="inlineStr">
        <is>
          <t>Stainless steel AISI 316</t>
        </is>
      </c>
      <c r="G55" s="4" t="inlineStr">
        <is>
          <t>black, ATEX-certified, with trigger guard</t>
        </is>
      </c>
      <c r="H55" s="4" t="inlineStr">
        <is>
          <t>ATEX cleaning gun, 1/2" BSP female, Stainless steel AISI 316, black, ATEX-certified, with trigger guard</t>
        </is>
      </c>
      <c r="I55" s="4" t="inlineStr">
        <is>
          <t>18 - ATEX cleaning gun.pdf</t>
        </is>
      </c>
      <c r="J55" s="4" t="inlineStr">
        <is>
          <t>Confirmed</t>
        </is>
      </c>
      <c r="K55" s="4" t="inlineStr">
        <is>
          <t>Catalogue prints max temp as "60C (200F)" - correct conversion is 140F, likely a catalogue typo (informational only, does not affect part number)</t>
        </is>
      </c>
    </row>
    <row r="56">
      <c r="A56" s="4" t="inlineStr">
        <is>
          <t>Washdown / cleaning equipment</t>
        </is>
      </c>
      <c r="B56" s="4" t="inlineStr">
        <is>
          <t>AKRN002-LB-LAT</t>
        </is>
      </c>
      <c r="C56" s="4" t="inlineStr">
        <is>
          <t>WD-RN002-LB-LAT</t>
        </is>
      </c>
      <c r="D56" s="4" t="inlineStr">
        <is>
          <t>Sterilisable cleaning gun (AISI 316)</t>
        </is>
      </c>
      <c r="E56" s="4" t="inlineStr">
        <is>
          <t>1/2" BSP female</t>
        </is>
      </c>
      <c r="F56" s="4" t="inlineStr">
        <is>
          <t>Stainless steel AISI 316</t>
        </is>
      </c>
      <c r="G56" s="4" t="inlineStr">
        <is>
          <t>latex rubber jacket, Viton seals, sterilisable to 160C</t>
        </is>
      </c>
      <c r="H56" s="4" t="inlineStr">
        <is>
          <t>Sterilisable cleaning gun (AISI 316), 1/2" BSP female, Stainless steel AISI 316, latex rubber jacket, Viton seals, sterilisable to 160C</t>
        </is>
      </c>
      <c r="I56" s="4" t="inlineStr">
        <is>
          <t>19 - Sterilisable cleaning gun in stainless steel (AISI 316).pdf</t>
        </is>
      </c>
      <c r="J56" s="4" t="inlineStr">
        <is>
          <t>Confirmed</t>
        </is>
      </c>
      <c r="K56" s="4" t="n"/>
    </row>
    <row r="57">
      <c r="A57" s="4" t="inlineStr">
        <is>
          <t>Washdown / cleaning equipment</t>
        </is>
      </c>
      <c r="B57" s="4" t="inlineStr">
        <is>
          <t>AKRBT01-B-U</t>
        </is>
      </c>
      <c r="C57" s="4" t="inlineStr">
        <is>
          <t>WD-RBT01-B-U</t>
        </is>
      </c>
      <c r="D57" s="4" t="inlineStr">
        <is>
          <t>Stainless steel gun with rear trigger (AISI 316)</t>
        </is>
      </c>
      <c r="E57" s="4" t="inlineStr">
        <is>
          <t>1/2" NPT female</t>
        </is>
      </c>
      <c r="F57" s="4" t="inlineStr">
        <is>
          <t>Stainless steel AISI 316</t>
        </is>
      </c>
      <c r="G57" s="4" t="inlineStr">
        <is>
          <t>standard flow</t>
        </is>
      </c>
      <c r="H57" s="4" t="inlineStr">
        <is>
          <t>Stainless steel gun with rear trigger (AISI 316), 1/2" NPT female, Stainless steel AISI 316, standard flow</t>
        </is>
      </c>
      <c r="I57" s="4" t="inlineStr">
        <is>
          <t>20 - Stainless steel (AISI 316) cleaning gun with rear trigger.pdf</t>
        </is>
      </c>
      <c r="J57" s="4" t="inlineStr">
        <is>
          <t>Confirmed</t>
        </is>
      </c>
      <c r="K57" s="4" t="inlineStr">
        <is>
          <t>Technical table prints connection as "NTP" (typo for NPT); body text weight "980g" does not match either table weight (940g/880g) - informational only</t>
        </is>
      </c>
    </row>
    <row r="58">
      <c r="A58" s="4" t="inlineStr">
        <is>
          <t>Washdown / cleaning equipment</t>
        </is>
      </c>
      <c r="B58" s="4" t="inlineStr">
        <is>
          <t>AKRBTB1-B-U</t>
        </is>
      </c>
      <c r="C58" s="4" t="inlineStr">
        <is>
          <t>WD-RBTB1-B-U</t>
        </is>
      </c>
      <c r="D58" s="4" t="inlineStr">
        <is>
          <t>Stainless steel gun with rear trigger (AISI 316), high flow</t>
        </is>
      </c>
      <c r="E58" s="4" t="inlineStr">
        <is>
          <t>1/2" NPT female</t>
        </is>
      </c>
      <c r="F58" s="4" t="inlineStr">
        <is>
          <t>Stainless steel AISI 316</t>
        </is>
      </c>
      <c r="G58" s="4" t="inlineStr">
        <is>
          <t>high flow</t>
        </is>
      </c>
      <c r="H58" s="4" t="inlineStr">
        <is>
          <t>Stainless steel gun with rear trigger (AISI 316), high flow, 1/2" NPT female, Stainless steel AISI 316, high flow</t>
        </is>
      </c>
      <c r="I58" s="4" t="inlineStr">
        <is>
          <t>20 - Stainless steel (AISI 316) cleaning gun with rear trigger.pdf</t>
        </is>
      </c>
      <c r="J58" s="4" t="inlineStr">
        <is>
          <t>Confirmed</t>
        </is>
      </c>
      <c r="K58" s="4" t="inlineStr">
        <is>
          <t>Same "NTP" typo noted in the technical table</t>
        </is>
      </c>
    </row>
    <row r="59">
      <c r="A59" s="4" t="inlineStr">
        <is>
          <t>Washdown / cleaning equipment</t>
        </is>
      </c>
      <c r="B59" s="4" t="inlineStr">
        <is>
          <t>AKAWLU1-B</t>
        </is>
      </c>
      <c r="C59" s="4" t="inlineStr">
        <is>
          <t>WD-AWLU1-B</t>
        </is>
      </c>
      <c r="D59" s="4" t="inlineStr">
        <is>
          <t>Water-air gun</t>
        </is>
      </c>
      <c r="E59" s="4" t="inlineStr">
        <is>
          <t>2x 10mm hose tails (water and air inlets)</t>
        </is>
      </c>
      <c r="F59" s="4" t="inlineStr">
        <is>
          <t>Aluminium</t>
        </is>
      </c>
      <c r="G59" s="4" t="n"/>
      <c r="H59" s="4" t="inlineStr">
        <is>
          <t>Water-air gun, 2x 10mm hose tails (water and air inlets), Aluminium</t>
        </is>
      </c>
      <c r="I59" s="4" t="inlineStr">
        <is>
          <t>22 - Water-air gun.pdf</t>
        </is>
      </c>
      <c r="J59" s="4" t="inlineStr">
        <is>
          <t>Confirmed</t>
        </is>
      </c>
      <c r="K59" s="4" t="n"/>
    </row>
    <row r="60">
      <c r="A60" s="4" t="inlineStr">
        <is>
          <t>Washdown / cleaning equipment</t>
        </is>
      </c>
      <c r="B60" s="4" t="inlineStr">
        <is>
          <t>AGIL572</t>
        </is>
      </c>
      <c r="C60" s="4" t="inlineStr">
        <is>
          <t>WD-AGIL572</t>
        </is>
      </c>
      <c r="D60" s="4" t="inlineStr">
        <is>
          <t>Lightweight spray gun</t>
        </is>
      </c>
      <c r="E60" s="4" t="inlineStr">
        <is>
          <t>3/4" GHT male outlet</t>
        </is>
      </c>
      <c r="F60" s="4" t="inlineStr">
        <is>
          <t>Chrome-plated zinc</t>
        </is>
      </c>
      <c r="G60" s="4" t="n"/>
      <c r="H60" s="4" t="inlineStr">
        <is>
          <t>Lightweight spray gun, 3/4" GHT male outlet, Chrome-plated zinc</t>
        </is>
      </c>
      <c r="I60" s="4" t="inlineStr">
        <is>
          <t>24 - AGIL572 lightweight spray gun.pdf</t>
        </is>
      </c>
      <c r="J60" s="4" t="inlineStr">
        <is>
          <t>Confirmed</t>
        </is>
      </c>
      <c r="K60" s="4" t="inlineStr">
        <is>
          <t>Catalogue number has no "AK" prefix at all</t>
        </is>
      </c>
    </row>
    <row r="61">
      <c r="A61" s="33" t="inlineStr">
        <is>
          <t>Washdown / cleaning equipment</t>
        </is>
      </c>
      <c r="B61" s="33" t="inlineStr">
        <is>
          <t>AK53800A1</t>
        </is>
      </c>
      <c r="C61" s="33" t="inlineStr">
        <is>
          <t>WD-53800A1</t>
        </is>
      </c>
      <c r="D61" s="33" t="inlineStr">
        <is>
          <t>NiTO I cleaning gun</t>
        </is>
      </c>
      <c r="E61" s="33" t="inlineStr">
        <is>
          <t>1/2" NiTO quick-connect inlet</t>
        </is>
      </c>
      <c r="F61" s="33" t="inlineStr">
        <is>
          <t>Not stated in catalogue</t>
        </is>
      </c>
      <c r="G61" s="33" t="n"/>
      <c r="H61" s="33" t="inlineStr">
        <is>
          <t>NiTO I cleaning gun, 1/2" NiTO quick-connect inlet, Not stated in catalogue</t>
        </is>
      </c>
      <c r="I61" s="33" t="inlineStr">
        <is>
          <t>25 - NiTO I cleaning gun.pdf</t>
        </is>
      </c>
      <c r="J61" s="33" t="inlineStr">
        <is>
          <t>Needs review</t>
        </is>
      </c>
      <c r="K61" s="33" t="inlineStr">
        <is>
          <t>Material not stated in catalogue - confirm before quoting on material-sensitive jobs</t>
        </is>
      </c>
    </row>
    <row r="62">
      <c r="A62" s="33" t="inlineStr">
        <is>
          <t>Washdown / cleaning equipment</t>
        </is>
      </c>
      <c r="B62" s="33" t="inlineStr">
        <is>
          <t>AK30550A3</t>
        </is>
      </c>
      <c r="C62" s="33" t="inlineStr">
        <is>
          <t>WD-30550A3</t>
        </is>
      </c>
      <c r="D62" s="33" t="inlineStr">
        <is>
          <t>NiTO II cleaning gun</t>
        </is>
      </c>
      <c r="E62" s="33" t="inlineStr">
        <is>
          <t>NiTO quick-connect inlet</t>
        </is>
      </c>
      <c r="F62" s="33" t="inlineStr">
        <is>
          <t>Not stated in catalogue</t>
        </is>
      </c>
      <c r="G62" s="33" t="n"/>
      <c r="H62" s="33" t="inlineStr">
        <is>
          <t>NiTO II cleaning gun, NiTO quick-connect inlet, Not stated in catalogue</t>
        </is>
      </c>
      <c r="I62" s="33" t="inlineStr">
        <is>
          <t>26 - NiTO II cleaning gun.pdf</t>
        </is>
      </c>
      <c r="J62" s="33" t="inlineStr">
        <is>
          <t>Needs review</t>
        </is>
      </c>
      <c r="K62" s="33" t="inlineStr">
        <is>
          <t>Material not stated in catalogue - confirm before quoting on material-sensitive jobs. Related accessory AK30210A0 (spare nozzle set) exists but is out of scope - not a gun.</t>
        </is>
      </c>
    </row>
    <row r="63">
      <c r="A63" s="33" t="inlineStr">
        <is>
          <t>Washdown / cleaning equipment</t>
        </is>
      </c>
      <c r="B63" s="33" t="inlineStr">
        <is>
          <t>AK40255A3</t>
        </is>
      </c>
      <c r="C63" s="33" t="inlineStr">
        <is>
          <t>WD-40255A3</t>
        </is>
      </c>
      <c r="D63" s="33" t="inlineStr">
        <is>
          <t>NiTO ERGO hot-water gun</t>
        </is>
      </c>
      <c r="E63" s="33" t="inlineStr">
        <is>
          <t>NiTO quick-connect inlet</t>
        </is>
      </c>
      <c r="F63" s="33" t="inlineStr">
        <is>
          <t>Not stated in catalogue</t>
        </is>
      </c>
      <c r="G63" s="33" t="n"/>
      <c r="H63" s="33" t="inlineStr">
        <is>
          <t>NiTO ERGO hot-water gun, NiTO quick-connect inlet, Not stated in catalogue</t>
        </is>
      </c>
      <c r="I63" s="33" t="inlineStr">
        <is>
          <t>27 - NiTO ERGO hot-water gun.pdf</t>
        </is>
      </c>
      <c r="J63" s="33" t="inlineStr">
        <is>
          <t>Needs review</t>
        </is>
      </c>
      <c r="K63" s="33" t="inlineStr">
        <is>
          <t>Material not stated in catalogue - confirm before quoting on material-sensitive jobs</t>
        </is>
      </c>
    </row>
    <row r="64">
      <c r="A64" s="4" t="inlineStr">
        <is>
          <t>Washdown / cleaning equipment</t>
        </is>
      </c>
      <c r="B64" s="4" t="inlineStr">
        <is>
          <t>AKRL002-B</t>
        </is>
      </c>
      <c r="C64" s="4" t="inlineStr">
        <is>
          <t>WD-RL002-B</t>
        </is>
      </c>
      <c r="D64" s="4" t="inlineStr">
        <is>
          <t>Cleaning gun for lance mounting</t>
        </is>
      </c>
      <c r="E64" s="4" t="inlineStr">
        <is>
          <t>1/2" BSP male outlet</t>
        </is>
      </c>
      <c r="F64" s="4" t="inlineStr">
        <is>
          <t>Stainless steel AISI 316</t>
        </is>
      </c>
      <c r="G64" s="4" t="n"/>
      <c r="H64" s="4" t="inlineStr">
        <is>
          <t>Cleaning gun for lance mounting, 1/2" BSP male outlet, Stainless steel AISI 316</t>
        </is>
      </c>
      <c r="I64" s="4" t="inlineStr">
        <is>
          <t>29 - Cleaning guns for lance mounting.pdf</t>
        </is>
      </c>
      <c r="J64" s="4" t="inlineStr">
        <is>
          <t>Confirmed</t>
        </is>
      </c>
      <c r="K64" s="4" t="n"/>
    </row>
    <row r="65">
      <c r="A65" s="4" t="inlineStr">
        <is>
          <t>Washdown / cleaning equipment</t>
        </is>
      </c>
      <c r="B65" s="4" t="inlineStr">
        <is>
          <t>AKCL002-B</t>
        </is>
      </c>
      <c r="C65" s="4" t="inlineStr">
        <is>
          <t>WD-CL002-B</t>
        </is>
      </c>
      <c r="D65" s="4" t="inlineStr">
        <is>
          <t>Cleaning gun for lance mounting</t>
        </is>
      </c>
      <c r="E65" s="4" t="inlineStr">
        <is>
          <t>1/2" BSP male outlet</t>
        </is>
      </c>
      <c r="F65" s="4" t="inlineStr">
        <is>
          <t>Brass, chrome-plated</t>
        </is>
      </c>
      <c r="G65" s="4" t="n"/>
      <c r="H65" s="4" t="inlineStr">
        <is>
          <t>Cleaning gun for lance mounting, 1/2" BSP male outlet, Brass, chrome-plated</t>
        </is>
      </c>
      <c r="I65" s="4" t="inlineStr">
        <is>
          <t>29 - Cleaning guns for lance mounting.pdf</t>
        </is>
      </c>
      <c r="J65" s="4" t="inlineStr">
        <is>
          <t>Confirmed</t>
        </is>
      </c>
      <c r="K65" s="4" t="n"/>
    </row>
    <row r="66">
      <c r="A66" s="4" t="inlineStr">
        <is>
          <t>Washdown / cleaning equipment</t>
        </is>
      </c>
      <c r="B66" s="4" t="inlineStr">
        <is>
          <t>KLML002-B</t>
        </is>
      </c>
      <c r="C66" s="4" t="inlineStr">
        <is>
          <t>WD-KLML002-B</t>
        </is>
      </c>
      <c r="D66" s="4" t="inlineStr">
        <is>
          <t>Cleaning gun for lance mounting</t>
        </is>
      </c>
      <c r="E66" s="4" t="inlineStr">
        <is>
          <t>1/2" BSP male outlet</t>
        </is>
      </c>
      <c r="F66" s="4" t="inlineStr">
        <is>
          <t>Brass</t>
        </is>
      </c>
      <c r="G66" s="4" t="n"/>
      <c r="H66" s="4" t="inlineStr">
        <is>
          <t>Cleaning gun for lance mounting, 1/2" BSP male outlet, Brass</t>
        </is>
      </c>
      <c r="I66" s="4" t="inlineStr">
        <is>
          <t>29 - Cleaning guns for lance mounting.pdf</t>
        </is>
      </c>
      <c r="J66" s="4" t="inlineStr">
        <is>
          <t>Confirmed</t>
        </is>
      </c>
      <c r="K66" s="4" t="n"/>
    </row>
    <row r="67">
      <c r="A67" s="4" t="inlineStr">
        <is>
          <t>Washdown / cleaning equipment</t>
        </is>
      </c>
      <c r="B67" s="4" t="inlineStr">
        <is>
          <t>AKCLCP2-B</t>
        </is>
      </c>
      <c r="C67" s="4" t="inlineStr">
        <is>
          <t>WD-CLCP2-B</t>
        </is>
      </c>
      <c r="D67" s="4" t="inlineStr">
        <is>
          <t>Cleaning gun for lance mounting</t>
        </is>
      </c>
      <c r="E67" s="4" t="inlineStr">
        <is>
          <t>quick coupling outlet</t>
        </is>
      </c>
      <c r="F67" s="4" t="inlineStr">
        <is>
          <t>Brass, chrome-plated</t>
        </is>
      </c>
      <c r="G67" s="4" t="inlineStr">
        <is>
          <t>with quick-release coupling</t>
        </is>
      </c>
      <c r="H67" s="4" t="inlineStr">
        <is>
          <t>Cleaning gun for lance mounting, quick coupling outlet, Brass, chrome-plated, with quick-release coupling</t>
        </is>
      </c>
      <c r="I67" s="4" t="inlineStr">
        <is>
          <t>29 - Cleaning guns for lance mounting.pdf</t>
        </is>
      </c>
      <c r="J67" s="4" t="inlineStr">
        <is>
          <t>Confirmed</t>
        </is>
      </c>
      <c r="K67" s="4" t="n"/>
    </row>
    <row r="68">
      <c r="A68" s="4" t="inlineStr">
        <is>
          <t>Washdown / cleaning equipment</t>
        </is>
      </c>
      <c r="B68" s="4" t="inlineStr">
        <is>
          <t>AKRLCP2-B</t>
        </is>
      </c>
      <c r="C68" s="4" t="inlineStr">
        <is>
          <t>WD-RLCP2-B</t>
        </is>
      </c>
      <c r="D68" s="4" t="inlineStr">
        <is>
          <t>Cleaning gun for lance mounting</t>
        </is>
      </c>
      <c r="E68" s="4" t="inlineStr">
        <is>
          <t>quick coupling outlet</t>
        </is>
      </c>
      <c r="F68" s="4" t="inlineStr">
        <is>
          <t>Stainless steel AISI 316</t>
        </is>
      </c>
      <c r="G68" s="4" t="inlineStr">
        <is>
          <t>with quick-release coupling</t>
        </is>
      </c>
      <c r="H68" s="4" t="inlineStr">
        <is>
          <t>Cleaning gun for lance mounting, quick coupling outlet, Stainless steel AISI 316, with quick-release coupling</t>
        </is>
      </c>
      <c r="I68" s="4" t="inlineStr">
        <is>
          <t>29 - Cleaning guns for lance mounting.pdf</t>
        </is>
      </c>
      <c r="J68" s="4" t="inlineStr">
        <is>
          <t>Confirmed</t>
        </is>
      </c>
      <c r="K68" s="4" t="n"/>
    </row>
    <row r="69">
      <c r="A69" s="4" t="inlineStr">
        <is>
          <t>Washdown / cleaning equipment</t>
        </is>
      </c>
      <c r="B69" s="4" t="inlineStr">
        <is>
          <t>KLMLCP2-B</t>
        </is>
      </c>
      <c r="C69" s="4" t="inlineStr">
        <is>
          <t>WD-KLMLCP2-B</t>
        </is>
      </c>
      <c r="D69" s="4" t="inlineStr">
        <is>
          <t>Cleaning gun for lance mounting</t>
        </is>
      </c>
      <c r="E69" s="4" t="inlineStr">
        <is>
          <t>quick coupling outlet</t>
        </is>
      </c>
      <c r="F69" s="4" t="inlineStr">
        <is>
          <t>Brass</t>
        </is>
      </c>
      <c r="G69" s="4" t="inlineStr">
        <is>
          <t>with quick-release coupling</t>
        </is>
      </c>
      <c r="H69" s="4" t="inlineStr">
        <is>
          <t>Cleaning gun for lance mounting, quick coupling outlet, Brass, with quick-release coupling</t>
        </is>
      </c>
      <c r="I69" s="4" t="inlineStr">
        <is>
          <t>29 - Cleaning guns for lance mounting.pdf</t>
        </is>
      </c>
      <c r="J69" s="4" t="inlineStr">
        <is>
          <t>Confirmed</t>
        </is>
      </c>
      <c r="K69" s="4" t="n"/>
    </row>
    <row r="70">
      <c r="A70" s="4" t="inlineStr">
        <is>
          <t>Washdown / cleaning equipment</t>
        </is>
      </c>
      <c r="B70" s="4" t="inlineStr">
        <is>
          <t>BABTLF1-B-V</t>
        </is>
      </c>
      <c r="C70" s="4" t="inlineStr">
        <is>
          <t>WD-BABTLF1-B-V</t>
        </is>
      </c>
      <c r="D70" s="4" t="inlineStr">
        <is>
          <t>Baby series gun for lance mounting</t>
        </is>
      </c>
      <c r="E70" s="4" t="inlineStr">
        <is>
          <t>1/2" BSP female outlet and inlet</t>
        </is>
      </c>
      <c r="F70" s="4" t="inlineStr">
        <is>
          <t>Aluminium</t>
        </is>
      </c>
      <c r="G70" s="4" t="inlineStr">
        <is>
          <t>blue, Viton seals</t>
        </is>
      </c>
      <c r="H70" s="4" t="inlineStr">
        <is>
          <t>Baby series gun for lance mounting, 1/2" BSP female outlet and inlet, Aluminium, blue, Viton seals</t>
        </is>
      </c>
      <c r="I70" s="4" t="inlineStr">
        <is>
          <t>31 - Cleaning guns for lance mounting, Baby series.pdf</t>
        </is>
      </c>
      <c r="J70" s="4" t="inlineStr">
        <is>
          <t>Confirmed</t>
        </is>
      </c>
      <c r="K70" s="4" t="n"/>
    </row>
    <row r="71">
      <c r="A71" s="33" t="inlineStr">
        <is>
          <t>Washdown / cleaning equipment</t>
        </is>
      </c>
      <c r="B71" s="33" t="inlineStr">
        <is>
          <t>BABTLF1-BL</t>
        </is>
      </c>
      <c r="C71" s="33" t="inlineStr">
        <is>
          <t>WD-BABTLF1-BL</t>
        </is>
      </c>
      <c r="D71" s="33" t="inlineStr">
        <is>
          <t>Baby series gun for lance mounting</t>
        </is>
      </c>
      <c r="E71" s="33" t="inlineStr">
        <is>
          <t>1/2" BSP female outlet and inlet</t>
        </is>
      </c>
      <c r="F71" s="33" t="inlineStr">
        <is>
          <t>Aluminium</t>
        </is>
      </c>
      <c r="G71" s="33" t="inlineStr">
        <is>
          <t>black</t>
        </is>
      </c>
      <c r="H71" s="33" t="inlineStr">
        <is>
          <t>Baby series gun for lance mounting, 1/2" BSP female outlet and inlet, Aluminium, black</t>
        </is>
      </c>
      <c r="I71" s="33" t="inlineStr">
        <is>
          <t>31 - Cleaning guns for lance mounting, Baby series.pdf</t>
        </is>
      </c>
      <c r="J71" s="33" t="inlineStr">
        <is>
          <t>Needs review</t>
        </is>
      </c>
      <c r="K71" s="33" t="inlineStr">
        <is>
          <t>Max-temp table cell shows "(231F)" matching a 95C row, but this model is rated 50C (its sibling BABTLF1-B-V, same 50C rating, correctly shows ~122F) - likely a copy-paste error in AKBO's table; confirm actual max temp with AKBO</t>
        </is>
      </c>
    </row>
    <row r="72">
      <c r="A72" s="4" t="inlineStr">
        <is>
          <t>Washdown / cleaning equipment</t>
        </is>
      </c>
      <c r="B72" s="4" t="inlineStr">
        <is>
          <t>BMBNN01-B</t>
        </is>
      </c>
      <c r="C72" s="4" t="inlineStr">
        <is>
          <t>WD-BMBNN01-B</t>
        </is>
      </c>
      <c r="D72" s="4" t="inlineStr">
        <is>
          <t>Baby series gun for lance mounting</t>
        </is>
      </c>
      <c r="E72" s="4" t="inlineStr">
        <is>
          <t>1/2" BSP male outlet, 1/2" BSP female inlet</t>
        </is>
      </c>
      <c r="F72" s="4" t="inlineStr">
        <is>
          <t>Brass HPb59-3</t>
        </is>
      </c>
      <c r="G72" s="4" t="inlineStr">
        <is>
          <t>blue, with nozzle</t>
        </is>
      </c>
      <c r="H72" s="4" t="inlineStr">
        <is>
          <t>Baby series gun for lance mounting, 1/2" BSP male outlet, 1/2" BSP female inlet, Brass HPb59-3, blue, with nozzle</t>
        </is>
      </c>
      <c r="I72" s="4" t="inlineStr">
        <is>
          <t>31 - Cleaning guns for lance mounting, Baby series.pdf</t>
        </is>
      </c>
      <c r="J72" s="4" t="inlineStr">
        <is>
          <t>Confirmed</t>
        </is>
      </c>
      <c r="K72" s="4" t="n"/>
    </row>
    <row r="73">
      <c r="A73" s="4" t="inlineStr">
        <is>
          <t>Washdown / cleaning equipment</t>
        </is>
      </c>
      <c r="B73" s="4" t="inlineStr">
        <is>
          <t>AKMSHL1-B</t>
        </is>
      </c>
      <c r="C73" s="4" t="inlineStr">
        <is>
          <t>WD-MSHL1-B</t>
        </is>
      </c>
      <c r="D73" s="4" t="inlineStr">
        <is>
          <t>Water-saving spray head</t>
        </is>
      </c>
      <c r="E73" s="4" t="inlineStr">
        <is>
          <t>with handle, head 1/2" BSPP male, grip 1/2" BSPP female</t>
        </is>
      </c>
      <c r="F73" s="4" t="inlineStr">
        <is>
          <t>Brass HPb59-3 and POM (head), EPDM (grip)</t>
        </is>
      </c>
      <c r="G73" s="4" t="inlineStr">
        <is>
          <t>blue grip (GRIPML1-B)</t>
        </is>
      </c>
      <c r="H73" s="4" t="inlineStr">
        <is>
          <t>Water-saving spray head, with handle, head 1/2" BSPP male, grip 1/2" BSPP female, Brass HPb59-3 and POM (head), EPDM (grip), blue grip (GRIPML1-B)</t>
        </is>
      </c>
      <c r="I73" s="4" t="inlineStr">
        <is>
          <t>44 - Water-saving spray head.pdf</t>
        </is>
      </c>
      <c r="J73" s="4" t="inlineStr">
        <is>
          <t>Confirmed</t>
        </is>
      </c>
      <c r="K73" s="4" t="n"/>
    </row>
    <row r="74">
      <c r="A74" s="4" t="inlineStr">
        <is>
          <t>Washdown / cleaning equipment</t>
        </is>
      </c>
      <c r="B74" s="4" t="inlineStr">
        <is>
          <t>AKRSHL1-B</t>
        </is>
      </c>
      <c r="C74" s="4" t="inlineStr">
        <is>
          <t>WD-RSHL1-B</t>
        </is>
      </c>
      <c r="D74" s="4" t="inlineStr">
        <is>
          <t>Water-saving spray head</t>
        </is>
      </c>
      <c r="E74" s="4" t="inlineStr">
        <is>
          <t>with handle, head 1/2" BSPP male, grip 1/2" BSPP female</t>
        </is>
      </c>
      <c r="F74" s="4" t="inlineStr">
        <is>
          <t>Stainless steel AISI 304 and POM (head), EPDM (grip)</t>
        </is>
      </c>
      <c r="G74" s="4" t="inlineStr">
        <is>
          <t>blue grip (GRIPRL1-B)</t>
        </is>
      </c>
      <c r="H74" s="4" t="inlineStr">
        <is>
          <t>Water-saving spray head, with handle, head 1/2" BSPP male, grip 1/2" BSPP female, Stainless steel AISI 304 and POM (head), EPDM (grip), blue grip (GRIPRL1-B)</t>
        </is>
      </c>
      <c r="I74" s="4" t="inlineStr">
        <is>
          <t>44 - Water-saving spray head.pdf</t>
        </is>
      </c>
      <c r="J74" s="4" t="inlineStr">
        <is>
          <t>Confirmed</t>
        </is>
      </c>
      <c r="K74" s="4" t="n"/>
    </row>
    <row r="75">
      <c r="A75" s="33" t="inlineStr">
        <is>
          <t>Washdown / cleaning equipment</t>
        </is>
      </c>
      <c r="B75" s="33" t="inlineStr">
        <is>
          <t>AKMSHHL1-BL</t>
        </is>
      </c>
      <c r="C75" s="33" t="inlineStr">
        <is>
          <t>WD-MSHHL1-BL</t>
        </is>
      </c>
      <c r="D75" s="33" t="inlineStr">
        <is>
          <t>Water-saving spray head</t>
        </is>
      </c>
      <c r="E75" s="33" t="inlineStr">
        <is>
          <t>head only, 1/2" BSPP male</t>
        </is>
      </c>
      <c r="F75" s="33" t="inlineStr">
        <is>
          <t>Brass HPb59-3 and POM</t>
        </is>
      </c>
      <c r="G75" s="33" t="inlineStr">
        <is>
          <t>black, head only</t>
        </is>
      </c>
      <c r="H75" s="33" t="inlineStr">
        <is>
          <t>Water-saving spray head, head only, 1/2" BSPP male, Brass HPb59-3 and POM, black, head only</t>
        </is>
      </c>
      <c r="I75" s="33" t="inlineStr">
        <is>
          <t>44 - Water-saving spray head.pdf</t>
        </is>
      </c>
      <c r="J75" s="33" t="inlineStr">
        <is>
          <t>Needs review</t>
        </is>
      </c>
      <c r="K75" s="33" t="inlineStr">
        <is>
          <t>Technical-data table only lists dimensions/weight for the with-handle assemblies (AKMSHL1-B/AKRSHL1-B) - head-only weight not separately tabulated on this page</t>
        </is>
      </c>
    </row>
    <row r="76">
      <c r="A76" s="33" t="inlineStr">
        <is>
          <t>Washdown / cleaning equipment</t>
        </is>
      </c>
      <c r="B76" s="33" t="inlineStr">
        <is>
          <t>AKRSHHL1-BL</t>
        </is>
      </c>
      <c r="C76" s="33" t="inlineStr">
        <is>
          <t>WD-RSHHL1-BL</t>
        </is>
      </c>
      <c r="D76" s="33" t="inlineStr">
        <is>
          <t>Water-saving spray head</t>
        </is>
      </c>
      <c r="E76" s="33" t="inlineStr">
        <is>
          <t>head only, 1/2" BSPP male</t>
        </is>
      </c>
      <c r="F76" s="33" t="inlineStr">
        <is>
          <t>Stainless steel AISI 304 and POM</t>
        </is>
      </c>
      <c r="G76" s="33" t="inlineStr">
        <is>
          <t>black, head only</t>
        </is>
      </c>
      <c r="H76" s="33" t="inlineStr">
        <is>
          <t>Water-saving spray head, head only, 1/2" BSPP male, Stainless steel AISI 304 and POM, black, head only</t>
        </is>
      </c>
      <c r="I76" s="33" t="inlineStr">
        <is>
          <t>44 - Water-saving spray head.pdf</t>
        </is>
      </c>
      <c r="J76" s="33" t="inlineStr">
        <is>
          <t>Needs review</t>
        </is>
      </c>
      <c r="K76" s="33" t="inlineStr">
        <is>
          <t>Technical-data table only lists dimensions/weight for the with-handle assemblies - head-only weight not separately tabulated on this page</t>
        </is>
      </c>
    </row>
    <row r="77">
      <c r="A77" s="4" t="inlineStr">
        <is>
          <t>Washdown / cleaning equipment</t>
        </is>
      </c>
      <c r="B77" s="4" t="inlineStr">
        <is>
          <t>AKMSH03-B</t>
        </is>
      </c>
      <c r="C77" s="4" t="inlineStr">
        <is>
          <t>WD-MSH03-B</t>
        </is>
      </c>
      <c r="D77" s="4" t="inlineStr">
        <is>
          <t>Robust spray head</t>
        </is>
      </c>
      <c r="E77" s="4" t="inlineStr">
        <is>
          <t>with handle, 1/2" BSP female</t>
        </is>
      </c>
      <c r="F77" s="4" t="inlineStr">
        <is>
          <t>Brass interior, POM housing</t>
        </is>
      </c>
      <c r="G77" s="4" t="inlineStr">
        <is>
          <t>blue</t>
        </is>
      </c>
      <c r="H77" s="4" t="inlineStr">
        <is>
          <t>Robust spray head, with handle, 1/2" BSP female, Brass interior, POM housing, blue</t>
        </is>
      </c>
      <c r="I77" s="4" t="inlineStr">
        <is>
          <t>45 - Robust spray head.pdf</t>
        </is>
      </c>
      <c r="J77" s="4" t="inlineStr">
        <is>
          <t>Confirmed</t>
        </is>
      </c>
      <c r="K77" s="4" t="n"/>
    </row>
    <row r="78">
      <c r="A78" s="4" t="inlineStr">
        <is>
          <t>Washdown / cleaning equipment</t>
        </is>
      </c>
      <c r="B78" s="4" t="inlineStr">
        <is>
          <t>AKMSH03-R</t>
        </is>
      </c>
      <c r="C78" s="4" t="inlineStr">
        <is>
          <t>WD-MSH03-R</t>
        </is>
      </c>
      <c r="D78" s="4" t="inlineStr">
        <is>
          <t>Robust spray head</t>
        </is>
      </c>
      <c r="E78" s="4" t="inlineStr">
        <is>
          <t>with handle, 1/2" BSP female</t>
        </is>
      </c>
      <c r="F78" s="4" t="inlineStr">
        <is>
          <t>Brass interior, POM housing</t>
        </is>
      </c>
      <c r="G78" s="4" t="inlineStr">
        <is>
          <t>red</t>
        </is>
      </c>
      <c r="H78" s="4" t="inlineStr">
        <is>
          <t>Robust spray head, with handle, 1/2" BSP female, Brass interior, POM housing, red</t>
        </is>
      </c>
      <c r="I78" s="4" t="inlineStr">
        <is>
          <t>45 - Robust spray head.pdf</t>
        </is>
      </c>
      <c r="J78" s="4" t="inlineStr">
        <is>
          <t>Confirmed</t>
        </is>
      </c>
      <c r="K78" s="4" t="n"/>
    </row>
    <row r="79">
      <c r="A79" s="4" t="inlineStr">
        <is>
          <t>Washdown / cleaning equipment</t>
        </is>
      </c>
      <c r="B79" s="4" t="inlineStr">
        <is>
          <t>AKMSH03-W</t>
        </is>
      </c>
      <c r="C79" s="4" t="inlineStr">
        <is>
          <t>WD-MSH03-W</t>
        </is>
      </c>
      <c r="D79" s="4" t="inlineStr">
        <is>
          <t>Robust spray head</t>
        </is>
      </c>
      <c r="E79" s="4" t="inlineStr">
        <is>
          <t>with handle, 1/2" BSP female</t>
        </is>
      </c>
      <c r="F79" s="4" t="inlineStr">
        <is>
          <t>Brass interior, POM housing</t>
        </is>
      </c>
      <c r="G79" s="4" t="inlineStr">
        <is>
          <t>white</t>
        </is>
      </c>
      <c r="H79" s="4" t="inlineStr">
        <is>
          <t>Robust spray head, with handle, 1/2" BSP female, Brass interior, POM housing, white</t>
        </is>
      </c>
      <c r="I79" s="4" t="inlineStr">
        <is>
          <t>45 - Robust spray head.pdf</t>
        </is>
      </c>
      <c r="J79" s="4" t="inlineStr">
        <is>
          <t>Confirmed</t>
        </is>
      </c>
      <c r="K79" s="4" t="n"/>
    </row>
    <row r="80">
      <c r="A80" s="4" t="inlineStr">
        <is>
          <t>Washdown / cleaning equipment</t>
        </is>
      </c>
      <c r="B80" s="4" t="inlineStr">
        <is>
          <t>AKMSHH4-BL</t>
        </is>
      </c>
      <c r="C80" s="4" t="inlineStr">
        <is>
          <t>WD-MSHH4-BL</t>
        </is>
      </c>
      <c r="D80" s="4" t="inlineStr">
        <is>
          <t>Robust spray head</t>
        </is>
      </c>
      <c r="E80" s="4" t="inlineStr">
        <is>
          <t>head only, 1/2" BSP male</t>
        </is>
      </c>
      <c r="F80" s="4" t="inlineStr">
        <is>
          <t>Brass interior, POM housing</t>
        </is>
      </c>
      <c r="G80" s="4" t="inlineStr">
        <is>
          <t>black, head only</t>
        </is>
      </c>
      <c r="H80" s="4" t="inlineStr">
        <is>
          <t>Robust spray head, head only, 1/2" BSP male, Brass interior, POM housing, black, head only</t>
        </is>
      </c>
      <c r="I80" s="4" t="inlineStr">
        <is>
          <t>45 - Robust spray head.pdf</t>
        </is>
      </c>
      <c r="J80" s="4" t="inlineStr">
        <is>
          <t>Confirmed</t>
        </is>
      </c>
      <c r="K80" s="4" t="n"/>
    </row>
    <row r="81">
      <c r="A81" s="4" t="inlineStr">
        <is>
          <t>Washdown / cleaning equipment</t>
        </is>
      </c>
      <c r="B81" s="4" t="inlineStr">
        <is>
          <t>AKRSH03-B</t>
        </is>
      </c>
      <c r="C81" s="4" t="inlineStr">
        <is>
          <t>WD-RSH03-B</t>
        </is>
      </c>
      <c r="D81" s="4" t="inlineStr">
        <is>
          <t>Robust spray head</t>
        </is>
      </c>
      <c r="E81" s="4" t="inlineStr">
        <is>
          <t>with handle, 1/2" BSP female</t>
        </is>
      </c>
      <c r="F81" s="4" t="inlineStr">
        <is>
          <t>Stainless steel AISI 304 interior, POM housing</t>
        </is>
      </c>
      <c r="G81" s="4" t="inlineStr">
        <is>
          <t>blue</t>
        </is>
      </c>
      <c r="H81" s="4" t="inlineStr">
        <is>
          <t>Robust spray head, with handle, 1/2" BSP female, Stainless steel AISI 304 interior, POM housing, blue</t>
        </is>
      </c>
      <c r="I81" s="4" t="inlineStr">
        <is>
          <t>45 - Robust spray head.pdf</t>
        </is>
      </c>
      <c r="J81" s="4" t="inlineStr">
        <is>
          <t>Confirmed</t>
        </is>
      </c>
      <c r="K81" s="4" t="n"/>
    </row>
    <row r="82">
      <c r="A82" s="4" t="inlineStr">
        <is>
          <t>Washdown / cleaning equipment</t>
        </is>
      </c>
      <c r="B82" s="4" t="inlineStr">
        <is>
          <t>AKRSH03-R</t>
        </is>
      </c>
      <c r="C82" s="4" t="inlineStr">
        <is>
          <t>WD-RSH03-R</t>
        </is>
      </c>
      <c r="D82" s="4" t="inlineStr">
        <is>
          <t>Robust spray head</t>
        </is>
      </c>
      <c r="E82" s="4" t="inlineStr">
        <is>
          <t>with handle, 1/2" BSP female</t>
        </is>
      </c>
      <c r="F82" s="4" t="inlineStr">
        <is>
          <t>Stainless steel AISI 304 interior, POM housing</t>
        </is>
      </c>
      <c r="G82" s="4" t="inlineStr">
        <is>
          <t>red</t>
        </is>
      </c>
      <c r="H82" s="4" t="inlineStr">
        <is>
          <t>Robust spray head, with handle, 1/2" BSP female, Stainless steel AISI 304 interior, POM housing, red</t>
        </is>
      </c>
      <c r="I82" s="4" t="inlineStr">
        <is>
          <t>45 - Robust spray head.pdf</t>
        </is>
      </c>
      <c r="J82" s="4" t="inlineStr">
        <is>
          <t>Confirmed</t>
        </is>
      </c>
      <c r="K82" s="4" t="n"/>
    </row>
    <row r="83">
      <c r="A83" s="33" t="inlineStr">
        <is>
          <t>Washdown / cleaning equipment</t>
        </is>
      </c>
      <c r="B83" s="33" t="inlineStr">
        <is>
          <t>AKRSHW3-W</t>
        </is>
      </c>
      <c r="C83" s="33" t="inlineStr">
        <is>
          <t>WD-RSHW3-W</t>
        </is>
      </c>
      <c r="D83" s="33" t="inlineStr">
        <is>
          <t>Robust spray head</t>
        </is>
      </c>
      <c r="E83" s="33" t="inlineStr">
        <is>
          <t>with handle, 1/2" BSP female</t>
        </is>
      </c>
      <c r="F83" s="33" t="inlineStr">
        <is>
          <t>Stainless steel AISI 304 interior, POM housing</t>
        </is>
      </c>
      <c r="G83" s="33" t="inlineStr">
        <is>
          <t>white</t>
        </is>
      </c>
      <c r="H83" s="33" t="inlineStr">
        <is>
          <t>Robust spray head, with handle, 1/2" BSP female, Stainless steel AISI 304 interior, POM housing, white</t>
        </is>
      </c>
      <c r="I83" s="33" t="inlineStr">
        <is>
          <t>45 - Robust spray head.pdf</t>
        </is>
      </c>
      <c r="J83" s="33" t="inlineStr">
        <is>
          <t>Needs review</t>
        </is>
      </c>
      <c r="K83" s="33" t="inlineStr">
        <is>
          <t>Part number breaks the "03" pattern of its blue/red siblings (AKRSH03-B/R) - consistently printed as AKRSHW3-W in both body text and image caption, so likely intentional, but worth confirming with AKBO</t>
        </is>
      </c>
    </row>
    <row r="84">
      <c r="A84" s="4" t="inlineStr">
        <is>
          <t>Washdown / cleaning equipment</t>
        </is>
      </c>
      <c r="B84" s="4" t="inlineStr">
        <is>
          <t>AKRSHH4-BL</t>
        </is>
      </c>
      <c r="C84" s="4" t="inlineStr">
        <is>
          <t>WD-RSHH4-BL</t>
        </is>
      </c>
      <c r="D84" s="4" t="inlineStr">
        <is>
          <t>Robust spray head</t>
        </is>
      </c>
      <c r="E84" s="4" t="inlineStr">
        <is>
          <t>head only, 1/2" BSP male</t>
        </is>
      </c>
      <c r="F84" s="4" t="inlineStr">
        <is>
          <t>Stainless steel AISI 304 interior, POM housing</t>
        </is>
      </c>
      <c r="G84" s="4" t="inlineStr">
        <is>
          <t>black, head only</t>
        </is>
      </c>
      <c r="H84" s="4" t="inlineStr">
        <is>
          <t>Robust spray head, head only, 1/2" BSP male, Stainless steel AISI 304 interior, POM housing, black, head only</t>
        </is>
      </c>
      <c r="I84" s="4" t="inlineStr">
        <is>
          <t>45 - Robust spray head.pdf</t>
        </is>
      </c>
      <c r="J84" s="4" t="inlineStr">
        <is>
          <t>Confirmed</t>
        </is>
      </c>
      <c r="K84" s="4" t="inlineStr">
        <is>
          <t>AKRSHH4 series complies with EC 2023/2006 and EC 1935/2004 art. 3 (food-safe)</t>
        </is>
      </c>
    </row>
    <row r="85">
      <c r="A85" s="4" t="inlineStr">
        <is>
          <t>Washdown / cleaning equipment</t>
        </is>
      </c>
      <c r="B85" s="4" t="inlineStr">
        <is>
          <t>AKRSHH4-W</t>
        </is>
      </c>
      <c r="C85" s="4" t="inlineStr">
        <is>
          <t>WD-RSHH4-W</t>
        </is>
      </c>
      <c r="D85" s="4" t="inlineStr">
        <is>
          <t>Robust spray head</t>
        </is>
      </c>
      <c r="E85" s="4" t="inlineStr">
        <is>
          <t>head only, 1/2" BSP male</t>
        </is>
      </c>
      <c r="F85" s="4" t="inlineStr">
        <is>
          <t>Stainless steel AISI 304 interior, POM housing</t>
        </is>
      </c>
      <c r="G85" s="4" t="inlineStr">
        <is>
          <t>white, head only</t>
        </is>
      </c>
      <c r="H85" s="4" t="inlineStr">
        <is>
          <t>Robust spray head, head only, 1/2" BSP male, Stainless steel AISI 304 interior, POM housing, white, head only</t>
        </is>
      </c>
      <c r="I85" s="4" t="inlineStr">
        <is>
          <t>45 - Robust spray head.pdf</t>
        </is>
      </c>
      <c r="J85" s="4" t="inlineStr">
        <is>
          <t>Confirmed</t>
        </is>
      </c>
      <c r="K85" s="4" t="inlineStr">
        <is>
          <t>AKRSHH4 series complies with EC 2023/2006 and EC 1935/2004 art. 3 (food-safe)</t>
        </is>
      </c>
    </row>
    <row r="86">
      <c r="A86" s="4" t="inlineStr">
        <is>
          <t>Washdown / cleaning equipment</t>
        </is>
      </c>
      <c r="B86" s="4" t="inlineStr">
        <is>
          <t>GRIP-M01-B</t>
        </is>
      </c>
      <c r="C86" s="4" t="inlineStr">
        <is>
          <t>WD-GRIP-M01-B</t>
        </is>
      </c>
      <c r="D86" s="4" t="inlineStr">
        <is>
          <t>Handle</t>
        </is>
      </c>
      <c r="E86" s="4" t="inlineStr">
        <is>
          <t>2x 1/2" BSP female, 105 x 44mm</t>
        </is>
      </c>
      <c r="F86" s="4" t="inlineStr">
        <is>
          <t>Brass</t>
        </is>
      </c>
      <c r="G86" s="4" t="inlineStr">
        <is>
          <t>blue</t>
        </is>
      </c>
      <c r="H86" s="4" t="inlineStr">
        <is>
          <t>Handle, 2x 1/2" BSP female, 105 x 44mm, Brass, blue</t>
        </is>
      </c>
      <c r="I86" s="4" t="inlineStr">
        <is>
          <t>46 - Handles in brass or stainless steel.pdf</t>
        </is>
      </c>
      <c r="J86" s="4" t="inlineStr">
        <is>
          <t>Confirmed</t>
        </is>
      </c>
      <c r="K86" s="4" t="inlineStr">
        <is>
          <t>Accessory - pairs with AKMSH03-/AKRSH03- series robust spray heads</t>
        </is>
      </c>
    </row>
    <row r="87">
      <c r="A87" s="4" t="inlineStr">
        <is>
          <t>Washdown / cleaning equipment</t>
        </is>
      </c>
      <c r="B87" s="4" t="inlineStr">
        <is>
          <t>GRIP-M01-W</t>
        </is>
      </c>
      <c r="C87" s="4" t="inlineStr">
        <is>
          <t>WD-GRIP-M01-W</t>
        </is>
      </c>
      <c r="D87" s="4" t="inlineStr">
        <is>
          <t>Handle</t>
        </is>
      </c>
      <c r="E87" s="4" t="inlineStr">
        <is>
          <t>2x 1/2" BSP female, 105 x 44mm</t>
        </is>
      </c>
      <c r="F87" s="4" t="inlineStr">
        <is>
          <t>Brass</t>
        </is>
      </c>
      <c r="G87" s="4" t="inlineStr">
        <is>
          <t>white</t>
        </is>
      </c>
      <c r="H87" s="4" t="inlineStr">
        <is>
          <t>Handle, 2x 1/2" BSP female, 105 x 44mm, Brass, white</t>
        </is>
      </c>
      <c r="I87" s="4" t="inlineStr">
        <is>
          <t>46 - Handles in brass or stainless steel.pdf</t>
        </is>
      </c>
      <c r="J87" s="4" t="inlineStr">
        <is>
          <t>Confirmed</t>
        </is>
      </c>
      <c r="K87" s="4" t="inlineStr">
        <is>
          <t>Accessory - pairs with AKMSH03-/AKRSH03- series robust spray heads</t>
        </is>
      </c>
    </row>
    <row r="88">
      <c r="A88" s="4" t="inlineStr">
        <is>
          <t>Washdown / cleaning equipment</t>
        </is>
      </c>
      <c r="B88" s="4" t="inlineStr">
        <is>
          <t>GRIP-M01-R</t>
        </is>
      </c>
      <c r="C88" s="4" t="inlineStr">
        <is>
          <t>WD-GRIP-M01-R</t>
        </is>
      </c>
      <c r="D88" s="4" t="inlineStr">
        <is>
          <t>Handle</t>
        </is>
      </c>
      <c r="E88" s="4" t="inlineStr">
        <is>
          <t>2x 1/2" BSP female, 105 x 44mm</t>
        </is>
      </c>
      <c r="F88" s="4" t="inlineStr">
        <is>
          <t>Brass</t>
        </is>
      </c>
      <c r="G88" s="4" t="inlineStr">
        <is>
          <t>red</t>
        </is>
      </c>
      <c r="H88" s="4" t="inlineStr">
        <is>
          <t>Handle, 2x 1/2" BSP female, 105 x 44mm, Brass, red</t>
        </is>
      </c>
      <c r="I88" s="4" t="inlineStr">
        <is>
          <t>46 - Handles in brass or stainless steel.pdf</t>
        </is>
      </c>
      <c r="J88" s="4" t="inlineStr">
        <is>
          <t>Confirmed</t>
        </is>
      </c>
      <c r="K88" s="4" t="inlineStr">
        <is>
          <t>Accessory - pairs with AKMSH03-/AKRSH03- series robust spray heads</t>
        </is>
      </c>
    </row>
    <row r="89">
      <c r="A89" s="4" t="inlineStr">
        <is>
          <t>Washdown / cleaning equipment</t>
        </is>
      </c>
      <c r="B89" s="4" t="inlineStr">
        <is>
          <t>GRIP-R01-B</t>
        </is>
      </c>
      <c r="C89" s="4" t="inlineStr">
        <is>
          <t>WD-GRIP-R01-B</t>
        </is>
      </c>
      <c r="D89" s="4" t="inlineStr">
        <is>
          <t>Handle</t>
        </is>
      </c>
      <c r="E89" s="4" t="inlineStr">
        <is>
          <t>2x 1/2" BSP female, 105 x 44mm</t>
        </is>
      </c>
      <c r="F89" s="4" t="inlineStr">
        <is>
          <t>Stainless steel</t>
        </is>
      </c>
      <c r="G89" s="4" t="inlineStr">
        <is>
          <t>blue</t>
        </is>
      </c>
      <c r="H89" s="4" t="inlineStr">
        <is>
          <t>Handle, 2x 1/2" BSP female, 105 x 44mm, Stainless steel, blue</t>
        </is>
      </c>
      <c r="I89" s="4" t="inlineStr">
        <is>
          <t>46 - Handles in brass or stainless steel.pdf</t>
        </is>
      </c>
      <c r="J89" s="4" t="inlineStr">
        <is>
          <t>Confirmed</t>
        </is>
      </c>
      <c r="K89" s="4" t="inlineStr">
        <is>
          <t>Accessory - pairs with AKMSH03-/AKRSH03- series robust spray heads</t>
        </is>
      </c>
    </row>
    <row r="90">
      <c r="A90" s="4" t="inlineStr">
        <is>
          <t>Washdown / cleaning equipment</t>
        </is>
      </c>
      <c r="B90" s="4" t="inlineStr">
        <is>
          <t>GRIP-R01-W</t>
        </is>
      </c>
      <c r="C90" s="4" t="inlineStr">
        <is>
          <t>WD-GRIP-R01-W</t>
        </is>
      </c>
      <c r="D90" s="4" t="inlineStr">
        <is>
          <t>Handle</t>
        </is>
      </c>
      <c r="E90" s="4" t="inlineStr">
        <is>
          <t>2x 1/2" BSP female, 105 x 44mm</t>
        </is>
      </c>
      <c r="F90" s="4" t="inlineStr">
        <is>
          <t>Stainless steel</t>
        </is>
      </c>
      <c r="G90" s="4" t="inlineStr">
        <is>
          <t>white</t>
        </is>
      </c>
      <c r="H90" s="4" t="inlineStr">
        <is>
          <t>Handle, 2x 1/2" BSP female, 105 x 44mm, Stainless steel, white</t>
        </is>
      </c>
      <c r="I90" s="4" t="inlineStr">
        <is>
          <t>46 - Handles in brass or stainless steel.pdf</t>
        </is>
      </c>
      <c r="J90" s="4" t="inlineStr">
        <is>
          <t>Confirmed</t>
        </is>
      </c>
      <c r="K90" s="4" t="inlineStr">
        <is>
          <t>Accessory - pairs with AKMSH03-/AKRSH03- series robust spray heads</t>
        </is>
      </c>
    </row>
    <row r="91">
      <c r="A91" s="4" t="inlineStr">
        <is>
          <t>Washdown / cleaning equipment</t>
        </is>
      </c>
      <c r="B91" s="4" t="inlineStr">
        <is>
          <t>GRIP-R01-R</t>
        </is>
      </c>
      <c r="C91" s="4" t="inlineStr">
        <is>
          <t>WD-GRIP-R01-R</t>
        </is>
      </c>
      <c r="D91" s="4" t="inlineStr">
        <is>
          <t>Handle</t>
        </is>
      </c>
      <c r="E91" s="4" t="inlineStr">
        <is>
          <t>2x 1/2" BSP female, 105 x 44mm</t>
        </is>
      </c>
      <c r="F91" s="4" t="inlineStr">
        <is>
          <t>Stainless steel</t>
        </is>
      </c>
      <c r="G91" s="4" t="inlineStr">
        <is>
          <t>red</t>
        </is>
      </c>
      <c r="H91" s="4" t="inlineStr">
        <is>
          <t>Handle, 2x 1/2" BSP female, 105 x 44mm, Stainless steel, red</t>
        </is>
      </c>
      <c r="I91" s="4" t="inlineStr">
        <is>
          <t>46 - Handles in brass or stainless steel.pdf</t>
        </is>
      </c>
      <c r="J91" s="4" t="inlineStr">
        <is>
          <t>Confirmed</t>
        </is>
      </c>
      <c r="K91" s="4" t="inlineStr">
        <is>
          <t>Accessory - pairs with AKMSH03-/AKRSH03- series robust spray heads</t>
        </is>
      </c>
    </row>
    <row r="92">
      <c r="A92" s="4" t="inlineStr">
        <is>
          <t>Washdown / cleaning equipment</t>
        </is>
      </c>
      <c r="B92" s="4" t="inlineStr">
        <is>
          <t>GRIP-ML1-B</t>
        </is>
      </c>
      <c r="C92" s="4" t="inlineStr">
        <is>
          <t>WD-GRIP-ML1-B</t>
        </is>
      </c>
      <c r="D92" s="4" t="inlineStr">
        <is>
          <t>Handle, long version</t>
        </is>
      </c>
      <c r="E92" s="4" t="inlineStr">
        <is>
          <t>2x 1/2" BSP female, 115 x 44mm</t>
        </is>
      </c>
      <c r="F92" s="4" t="inlineStr">
        <is>
          <t>Brass</t>
        </is>
      </c>
      <c r="G92" s="4" t="inlineStr">
        <is>
          <t>blue</t>
        </is>
      </c>
      <c r="H92" s="4" t="inlineStr">
        <is>
          <t>Handle, long version, 2x 1/2" BSP female, 115 x 44mm, Brass, blue</t>
        </is>
      </c>
      <c r="I92" s="4" t="inlineStr">
        <is>
          <t>46 - Handles in brass or stainless steel.pdf</t>
        </is>
      </c>
      <c r="J92" s="4" t="inlineStr">
        <is>
          <t>Confirmed</t>
        </is>
      </c>
      <c r="K92" s="4" t="inlineStr">
        <is>
          <t>Accessory - pairs with AKMSHL1-B/AKRSHL1-B water-saving spray heads</t>
        </is>
      </c>
    </row>
    <row r="93">
      <c r="A93" s="4" t="inlineStr">
        <is>
          <t>Washdown / cleaning equipment</t>
        </is>
      </c>
      <c r="B93" s="4" t="inlineStr">
        <is>
          <t>GRIP-RL1-B</t>
        </is>
      </c>
      <c r="C93" s="4" t="inlineStr">
        <is>
          <t>WD-GRIP-RL1-B</t>
        </is>
      </c>
      <c r="D93" s="4" t="inlineStr">
        <is>
          <t>Handle, long version</t>
        </is>
      </c>
      <c r="E93" s="4" t="inlineStr">
        <is>
          <t>2x 1/2" BSP female, 115 x 44mm</t>
        </is>
      </c>
      <c r="F93" s="4" t="inlineStr">
        <is>
          <t>Stainless steel</t>
        </is>
      </c>
      <c r="G93" s="4" t="inlineStr">
        <is>
          <t>blue</t>
        </is>
      </c>
      <c r="H93" s="4" t="inlineStr">
        <is>
          <t>Handle, long version, 2x 1/2" BSP female, 115 x 44mm, Stainless steel, blue</t>
        </is>
      </c>
      <c r="I93" s="4" t="inlineStr">
        <is>
          <t>46 - Handles in brass or stainless steel.pdf</t>
        </is>
      </c>
      <c r="J93" s="4" t="inlineStr">
        <is>
          <t>Confirmed</t>
        </is>
      </c>
      <c r="K93" s="4" t="inlineStr">
        <is>
          <t>Accessory - pairs with AKMSHL1-B/AKRSHL1-B water-saving spray heads</t>
        </is>
      </c>
    </row>
    <row r="94">
      <c r="A94" s="4" t="inlineStr">
        <is>
          <t>Washdown / cleaning equipment</t>
        </is>
      </c>
      <c r="B94" s="4" t="inlineStr">
        <is>
          <t>AKNSH01-B</t>
        </is>
      </c>
      <c r="C94" s="4" t="inlineStr">
        <is>
          <t>WD-NSH01-B</t>
        </is>
      </c>
      <c r="D94" s="4" t="inlineStr">
        <is>
          <t>Lightweight spray head</t>
        </is>
      </c>
      <c r="E94" s="4" t="inlineStr">
        <is>
          <t>3/4" BSP male</t>
        </is>
      </c>
      <c r="F94" s="4" t="inlineStr">
        <is>
          <t>Blue polypropylene (handle/head), brass (nozzle)</t>
        </is>
      </c>
      <c r="G94" s="4" t="n"/>
      <c r="H94" s="4" t="inlineStr">
        <is>
          <t>Lightweight spray head, 3/4" BSP male, Blue polypropylene (handle/head), brass (nozzle)</t>
        </is>
      </c>
      <c r="I94" s="4" t="inlineStr">
        <is>
          <t>47 - Lightweight spray head.pdf</t>
        </is>
      </c>
      <c r="J94" s="4" t="inlineStr">
        <is>
          <t>Confirmed</t>
        </is>
      </c>
      <c r="K94" s="4" t="n"/>
    </row>
    <row r="95">
      <c r="A95" s="4" t="inlineStr">
        <is>
          <t>Washdown / cleaning equipment</t>
        </is>
      </c>
      <c r="B95" s="4" t="inlineStr">
        <is>
          <t>TWRWR02XL</t>
        </is>
      </c>
      <c r="C95" s="4" t="inlineStr">
        <is>
          <t>WD-TWRWR02XL</t>
        </is>
      </c>
      <c r="D95" s="4" t="inlineStr">
        <is>
          <t>Twister XL spray head</t>
        </is>
      </c>
      <c r="E95" s="4" t="inlineStr">
        <is>
          <t>1" BSPP male, 60 degree conical seal</t>
        </is>
      </c>
      <c r="F95" s="4" t="inlineStr">
        <is>
          <t>Stainless steel AISI 304, POM, EPDM</t>
        </is>
      </c>
      <c r="G95" s="4" t="n"/>
      <c r="H95" s="4" t="inlineStr">
        <is>
          <t>Twister XL spray head, 1" BSPP male, 60 degree conical seal, Stainless steel AISI 304, POM, EPDM</t>
        </is>
      </c>
      <c r="I95" s="4" t="inlineStr">
        <is>
          <t>48 - Twister series spray heads.pdf</t>
        </is>
      </c>
      <c r="J95" s="4" t="inlineStr">
        <is>
          <t>Confirmed</t>
        </is>
      </c>
      <c r="K95" s="4" t="n"/>
    </row>
    <row r="96">
      <c r="A96" s="4" t="inlineStr">
        <is>
          <t>Washdown / cleaning equipment</t>
        </is>
      </c>
      <c r="B96" s="4" t="inlineStr">
        <is>
          <t>TWRWR02L</t>
        </is>
      </c>
      <c r="C96" s="4" t="inlineStr">
        <is>
          <t>WD-TWRWR02L</t>
        </is>
      </c>
      <c r="D96" s="4" t="inlineStr">
        <is>
          <t>Twister L spray head</t>
        </is>
      </c>
      <c r="E96" s="4" t="inlineStr">
        <is>
          <t>3/4" BSPP male, 60 degree conical seal</t>
        </is>
      </c>
      <c r="F96" s="4" t="inlineStr">
        <is>
          <t>Stainless steel AISI 304, POM, EPDM</t>
        </is>
      </c>
      <c r="G96" s="4" t="n"/>
      <c r="H96" s="4" t="inlineStr">
        <is>
          <t>Twister L spray head, 3/4" BSPP male, 60 degree conical seal, Stainless steel AISI 304, POM, EPDM</t>
        </is>
      </c>
      <c r="I96" s="4" t="inlineStr">
        <is>
          <t>48 - Twister series spray heads.pdf</t>
        </is>
      </c>
      <c r="J96" s="4" t="inlineStr">
        <is>
          <t>Confirmed</t>
        </is>
      </c>
      <c r="K96" s="4" t="n"/>
    </row>
    <row r="97">
      <c r="A97" s="4" t="inlineStr">
        <is>
          <t>Washdown / cleaning equipment</t>
        </is>
      </c>
      <c r="B97" s="4" t="inlineStr">
        <is>
          <t>TWRWR02M</t>
        </is>
      </c>
      <c r="C97" s="4" t="inlineStr">
        <is>
          <t>WD-TWRWR02M</t>
        </is>
      </c>
      <c r="D97" s="4" t="inlineStr">
        <is>
          <t>Twister M spray head</t>
        </is>
      </c>
      <c r="E97" s="4" t="inlineStr">
        <is>
          <t>1/2" BSPP male, 60 degree conical seal</t>
        </is>
      </c>
      <c r="F97" s="4" t="inlineStr">
        <is>
          <t>Stainless steel AISI 304, POM, EPDM</t>
        </is>
      </c>
      <c r="G97" s="4" t="n"/>
      <c r="H97" s="4" t="inlineStr">
        <is>
          <t>Twister M spray head, 1/2" BSPP male, 60 degree conical seal, Stainless steel AISI 304, POM, EPDM</t>
        </is>
      </c>
      <c r="I97" s="4" t="inlineStr">
        <is>
          <t>48 - Twister series spray heads.pdf</t>
        </is>
      </c>
      <c r="J97" s="4" t="inlineStr">
        <is>
          <t>Confirmed</t>
        </is>
      </c>
      <c r="K97" s="4" t="n"/>
    </row>
    <row r="98">
      <c r="A98" s="4" t="inlineStr">
        <is>
          <t>Washdown / cleaning equipment</t>
        </is>
      </c>
      <c r="B98" s="4" t="inlineStr">
        <is>
          <t>TW02L-SL</t>
        </is>
      </c>
      <c r="C98" s="4" t="inlineStr">
        <is>
          <t>WD-TW02L-SL</t>
        </is>
      </c>
      <c r="D98" s="4" t="inlineStr">
        <is>
          <t>Twister protective sleeve</t>
        </is>
      </c>
      <c r="E98" s="4" t="inlineStr">
        <is>
          <t>fits Twister L</t>
        </is>
      </c>
      <c r="F98" s="4" t="inlineStr">
        <is>
          <t>EPDM</t>
        </is>
      </c>
      <c r="G98" s="4" t="inlineStr">
        <is>
          <t>bright red</t>
        </is>
      </c>
      <c r="H98" s="4" t="inlineStr">
        <is>
          <t>Twister protective sleeve, fits Twister L, EPDM, bright red</t>
        </is>
      </c>
      <c r="I98" s="4" t="inlineStr">
        <is>
          <t>48 - Twister series spray heads.pdf</t>
        </is>
      </c>
      <c r="J98" s="4" t="inlineStr">
        <is>
          <t>Confirmed</t>
        </is>
      </c>
      <c r="K98" s="4" t="inlineStr">
        <is>
          <t>Accessory - optional protective sleeve, not a spray head itself</t>
        </is>
      </c>
    </row>
    <row r="99">
      <c r="A99" s="4" t="inlineStr">
        <is>
          <t>Washdown / cleaning equipment</t>
        </is>
      </c>
      <c r="B99" s="4" t="inlineStr">
        <is>
          <t>TW02XL-SL</t>
        </is>
      </c>
      <c r="C99" s="4" t="inlineStr">
        <is>
          <t>WD-TW02XL-SL</t>
        </is>
      </c>
      <c r="D99" s="4" t="inlineStr">
        <is>
          <t>Twister protective sleeve</t>
        </is>
      </c>
      <c r="E99" s="4" t="inlineStr">
        <is>
          <t>fits Twister XL</t>
        </is>
      </c>
      <c r="F99" s="4" t="inlineStr">
        <is>
          <t>EPDM</t>
        </is>
      </c>
      <c r="G99" s="4" t="inlineStr">
        <is>
          <t>bright red</t>
        </is>
      </c>
      <c r="H99" s="4" t="inlineStr">
        <is>
          <t>Twister protective sleeve, fits Twister XL, EPDM, bright red</t>
        </is>
      </c>
      <c r="I99" s="4" t="inlineStr">
        <is>
          <t>48 - Twister series spray heads.pdf</t>
        </is>
      </c>
      <c r="J99" s="4" t="inlineStr">
        <is>
          <t>Confirmed</t>
        </is>
      </c>
      <c r="K99" s="4" t="inlineStr">
        <is>
          <t>Accessory - optional protective sleeve, not a spray head itself</t>
        </is>
      </c>
    </row>
    <row r="101">
      <c r="A101" s="10" t="inlineStr">
        <is>
          <t>Copy of AKBO_Part_Number_Conversion.xlsx (SharePoint: 01 Marketing/04 Brochures/AKBO NL), values as at 28-Sep-2026. Add new AKBO -&gt; Nozzleworks codes here; the Pricelist picks them up.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0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90" customWidth="1" min="3" max="3"/>
  </cols>
  <sheetData>
    <row r="1">
      <c r="A1" s="1" t="inlineStr">
        <is>
          <t>Items to action</t>
        </is>
      </c>
    </row>
    <row r="3">
      <c r="A3" s="3" t="inlineStr">
        <is>
          <t>1. AKBO pricelist items with no Nozzleworks part number in the conversion table</t>
        </is>
      </c>
    </row>
    <row r="4">
      <c r="A4" s="16" t="inlineStr">
        <is>
          <t>AKBO code</t>
        </is>
      </c>
      <c r="B4" s="16" t="inlineStr">
        <is>
          <t>Description</t>
        </is>
      </c>
      <c r="C4" s="16" t="inlineStr">
        <is>
          <t>Nozzleworks Part No (live)</t>
        </is>
      </c>
    </row>
    <row r="5">
      <c r="A5" s="4" t="inlineStr">
        <is>
          <t>BMFT001-B-PRIN</t>
        </is>
      </c>
      <c r="B5" s="4" t="inlineStr">
        <is>
          <t>Blue Princess economic brass water gun, blue with PRINCESS logo</t>
        </is>
      </c>
      <c r="C5" s="4">
        <f>IFERROR(INDEX(Conversion!$C$2:$C$500,MATCH($A5,Conversion!$B$2:$B$500,0)),"NOT ASSIGNED")</f>
        <v/>
      </c>
    </row>
    <row r="6">
      <c r="A6" s="4" t="inlineStr">
        <is>
          <t>AKMN011-B-KING</t>
        </is>
      </c>
      <c r="B6" s="4" t="inlineStr">
        <is>
          <t>Blue King superior brass water gun without trigger protection, blue with KING logo</t>
        </is>
      </c>
      <c r="C6" s="4">
        <f>IFERROR(INDEX(Conversion!$C$2:$C$500,MATCH($A6,Conversion!$B$2:$B$500,0)),"NOT ASSIGNED")</f>
        <v/>
      </c>
    </row>
    <row r="7">
      <c r="A7" s="4" t="inlineStr">
        <is>
          <t>AKMNP11-B-KING</t>
        </is>
      </c>
      <c r="B7" s="4" t="inlineStr">
        <is>
          <t>Blue King superior brass water gun with trigger protection, blue with KING logo</t>
        </is>
      </c>
      <c r="C7" s="4">
        <f>IFERROR(INDEX(Conversion!$C$2:$C$500,MATCH($A7,Conversion!$B$2:$B$500,0)),"NOT ASSIGNED")</f>
        <v/>
      </c>
    </row>
    <row r="8">
      <c r="A8" s="4" t="inlineStr">
        <is>
          <t>BRFT003-B-PRIN</t>
        </is>
      </c>
      <c r="B8" s="4" t="inlineStr">
        <is>
          <t>Blue Princess economic stainless steel water gun, blue with PRINCESS logo</t>
        </is>
      </c>
      <c r="C8" s="4">
        <f>IFERROR(INDEX(Conversion!$C$2:$C$500,MATCH($A8,Conversion!$B$2:$B$500,0)),"NOT ASSIGNED")</f>
        <v/>
      </c>
    </row>
    <row r="9">
      <c r="A9" s="4" t="inlineStr">
        <is>
          <t>BRFTP03-B-PRIN</t>
        </is>
      </c>
      <c r="B9" s="4" t="inlineStr">
        <is>
          <t>Blue Princess economic stainless steel water gun, with trigger guard and insulation trigger, bue with Princess logo</t>
        </is>
      </c>
      <c r="C9" s="4">
        <f>IFERROR(INDEX(Conversion!$C$2:$C$500,MATCH($A9,Conversion!$B$2:$B$500,0)),"NOT ASSIGNED")</f>
        <v/>
      </c>
    </row>
    <row r="10">
      <c r="A10" s="4" t="inlineStr">
        <is>
          <t>AKR001-B</t>
        </is>
      </c>
      <c r="B10" s="4" t="inlineStr">
        <is>
          <t>St, st. shower head, blue</t>
        </is>
      </c>
      <c r="C10" s="4">
        <f>IFERROR(INDEX(Conversion!$C$2:$C$500,MATCH($A10,Conversion!$B$2:$B$500,0)),"NOT ASSIGNED")</f>
        <v/>
      </c>
    </row>
    <row r="11">
      <c r="A11" s="4" t="inlineStr">
        <is>
          <t>BABTA01-B</t>
        </is>
      </c>
      <c r="B11" s="4" t="inlineStr">
        <is>
          <t>Aluminium "baby" water gun, back trigger, adapter outlet, blue</t>
        </is>
      </c>
      <c r="C11" s="4">
        <f>IFERROR(INDEX(Conversion!$C$2:$C$500,MATCH($A11,Conversion!$B$2:$B$500,0)),"NOT ASSIGNED")</f>
        <v/>
      </c>
    </row>
    <row r="12">
      <c r="A12" s="4" t="inlineStr">
        <is>
          <t>BABTNAA-B</t>
        </is>
      </c>
      <c r="B12" s="4" t="inlineStr">
        <is>
          <t>Aluminium "baby" water gun, back trigger, adapter in/output, blue</t>
        </is>
      </c>
      <c r="C12" s="4">
        <f>IFERROR(INDEX(Conversion!$C$2:$C$500,MATCH($A12,Conversion!$B$2:$B$500,0)),"NOT ASSIGNED")</f>
        <v/>
      </c>
    </row>
    <row r="13">
      <c r="A13" s="4" t="inlineStr">
        <is>
          <t>BMBTL01-B</t>
        </is>
      </c>
      <c r="B13" s="4" t="inlineStr">
        <is>
          <t>Brass "baby" water gun, back trigger, 1/2" male outlet, blue</t>
        </is>
      </c>
      <c r="C13" s="4">
        <f>IFERROR(INDEX(Conversion!$C$2:$C$500,MATCH($A13,Conversion!$B$2:$B$500,0)),"NOT ASSIGNED")</f>
        <v/>
      </c>
    </row>
    <row r="14">
      <c r="A14" s="4" t="inlineStr">
        <is>
          <t>BMBTA01-B</t>
        </is>
      </c>
      <c r="B14" s="4" t="inlineStr">
        <is>
          <t>Brass "baby" water gun, back trigger, adapter output, blue</t>
        </is>
      </c>
      <c r="C14" s="4">
        <f>IFERROR(INDEX(Conversion!$C$2:$C$500,MATCH($A14,Conversion!$B$2:$B$500,0)),"NOT ASSIGNED")</f>
        <v/>
      </c>
    </row>
    <row r="15">
      <c r="A15" s="4" t="inlineStr">
        <is>
          <t>BMBTA02-B-V</t>
        </is>
      </c>
      <c r="B15" s="4" t="inlineStr">
        <is>
          <t>Brass "baby" water gun, back trigger, adapter output, viton seals, blue</t>
        </is>
      </c>
      <c r="C15" s="4">
        <f>IFERROR(INDEX(Conversion!$C$2:$C$500,MATCH($A15,Conversion!$B$2:$B$500,0)),"NOT ASSIGNED")</f>
        <v/>
      </c>
    </row>
    <row r="16">
      <c r="A16" s="4" t="inlineStr">
        <is>
          <t>AKRSH03-W</t>
        </is>
      </c>
      <c r="B16" s="4" t="inlineStr">
        <is>
          <t>St.st. spray head black, white handgrip</t>
        </is>
      </c>
      <c r="C16" s="4">
        <f>IFERROR(INDEX(Conversion!$C$2:$C$500,MATCH($A16,Conversion!$B$2:$B$500,0)),"NOT ASSIGNED")</f>
        <v/>
      </c>
    </row>
    <row r="17">
      <c r="A17" s="4" t="inlineStr">
        <is>
          <t>AKRSHL1-W</t>
        </is>
      </c>
      <c r="B17" s="4" t="inlineStr">
        <is>
          <t>St. st. water saving spray head with handgrip, white</t>
        </is>
      </c>
      <c r="C17" s="4">
        <f>IFERROR(INDEX(Conversion!$C$2:$C$500,MATCH($A17,Conversion!$B$2:$B$500,0)),"NOT ASSIGNED")</f>
        <v/>
      </c>
    </row>
    <row r="18">
      <c r="A18" s="4" t="inlineStr">
        <is>
          <t>AKWMS01</t>
        </is>
      </c>
      <c r="B18" s="4" t="inlineStr">
        <is>
          <t>Water saver brass; model S; 3/4" female</t>
        </is>
      </c>
      <c r="C18" s="4">
        <f>IFERROR(INDEX(Conversion!$C$2:$C$500,MATCH($A18,Conversion!$B$2:$B$500,0)),"NOT ASSIGNED")</f>
        <v/>
      </c>
    </row>
    <row r="19">
      <c r="A19" s="4" t="inlineStr">
        <is>
          <t>AKWMM01</t>
        </is>
      </c>
      <c r="B19" s="4" t="inlineStr">
        <is>
          <t>Water saver brass; model M; 3/4" female</t>
        </is>
      </c>
      <c r="C19" s="4">
        <f>IFERROR(INDEX(Conversion!$C$2:$C$500,MATCH($A19,Conversion!$B$2:$B$500,0)),"NOT ASSIGNED")</f>
        <v/>
      </c>
    </row>
    <row r="20">
      <c r="A20" s="4" t="inlineStr">
        <is>
          <t>AKWML01</t>
        </is>
      </c>
      <c r="B20" s="4" t="inlineStr">
        <is>
          <t>Water saver brass; model L; 3/4" female</t>
        </is>
      </c>
      <c r="C20" s="4">
        <f>IFERROR(INDEX(Conversion!$C$2:$C$500,MATCH($A20,Conversion!$B$2:$B$500,0)),"NOT ASSIGNED")</f>
        <v/>
      </c>
    </row>
    <row r="21">
      <c r="A21" s="4" t="inlineStr">
        <is>
          <t>AKWMR01</t>
        </is>
      </c>
      <c r="B21" s="4" t="inlineStr">
        <is>
          <t>Water saver brass; model R; 3/4" female</t>
        </is>
      </c>
      <c r="C21" s="4">
        <f>IFERROR(INDEX(Conversion!$C$2:$C$500,MATCH($A21,Conversion!$B$2:$B$500,0)),"NOT ASSIGNED")</f>
        <v/>
      </c>
    </row>
    <row r="22">
      <c r="A22" s="4" t="inlineStr">
        <is>
          <t>AKWRS01</t>
        </is>
      </c>
      <c r="B22" s="4" t="inlineStr">
        <is>
          <t>Water saver stainless steel; model S; 3/4" female</t>
        </is>
      </c>
      <c r="C22" s="4">
        <f>IFERROR(INDEX(Conversion!$C$2:$C$500,MATCH($A22,Conversion!$B$2:$B$500,0)),"NOT ASSIGNED")</f>
        <v/>
      </c>
    </row>
    <row r="23">
      <c r="A23" s="4" t="inlineStr">
        <is>
          <t>AKWRM01</t>
        </is>
      </c>
      <c r="B23" s="4" t="inlineStr">
        <is>
          <t>Water saver stainless steel; model M; 3/4" female</t>
        </is>
      </c>
      <c r="C23" s="4">
        <f>IFERROR(INDEX(Conversion!$C$2:$C$500,MATCH($A23,Conversion!$B$2:$B$500,0)),"NOT ASSIGNED")</f>
        <v/>
      </c>
    </row>
    <row r="24">
      <c r="A24" s="4" t="inlineStr">
        <is>
          <t>AKWRL01</t>
        </is>
      </c>
      <c r="B24" s="4" t="inlineStr">
        <is>
          <t>Water saver stainless steel; model L; 3/4" female</t>
        </is>
      </c>
      <c r="C24" s="4">
        <f>IFERROR(INDEX(Conversion!$C$2:$C$500,MATCH($A24,Conversion!$B$2:$B$500,0)),"NOT ASSIGNED")</f>
        <v/>
      </c>
    </row>
    <row r="25">
      <c r="A25" s="4" t="inlineStr">
        <is>
          <t>AKWRR01</t>
        </is>
      </c>
      <c r="B25" s="4" t="inlineStr">
        <is>
          <t>Water saver stainless steel; model R; 3/4" female</t>
        </is>
      </c>
      <c r="C25" s="4">
        <f>IFERROR(INDEX(Conversion!$C$2:$C$500,MATCH($A25,Conversion!$B$2:$B$500,0)),"NOT ASSIGNED")</f>
        <v/>
      </c>
    </row>
    <row r="26">
      <c r="A26" s="4" t="inlineStr">
        <is>
          <t>BWNM045</t>
        </is>
      </c>
      <c r="B26" s="4" t="inlineStr">
        <is>
          <t>Economic Sprayer "Blue Nozzle" brass with EPDM, 4.5mm outlet</t>
        </is>
      </c>
      <c r="C26" s="4">
        <f>IFERROR(INDEX(Conversion!$C$2:$C$500,MATCH($A26,Conversion!$B$2:$B$500,0)),"NOT ASSIGNED")</f>
        <v/>
      </c>
    </row>
    <row r="27">
      <c r="A27" s="4" t="inlineStr">
        <is>
          <t>AKKS003-B</t>
        </is>
      </c>
      <c r="B27" s="4" t="inlineStr">
        <is>
          <t>Plastic shower head, blue</t>
        </is>
      </c>
      <c r="C27" s="4">
        <f>IFERROR(INDEX(Conversion!$C$2:$C$500,MATCH($A27,Conversion!$B$2:$B$500,0)),"NOT ASSIGNED")</f>
        <v/>
      </c>
    </row>
    <row r="28">
      <c r="A28" s="4" t="inlineStr">
        <is>
          <t>AKKS003-B-19</t>
        </is>
      </c>
      <c r="B28" s="4" t="inlineStr">
        <is>
          <t>Plastic shower head blue with 19mm hose tail MESC019 (separate)</t>
        </is>
      </c>
      <c r="C28" s="4">
        <f>IFERROR(INDEX(Conversion!$C$2:$C$500,MATCH($A28,Conversion!$B$2:$B$500,0)),"NOT ASSIGNED")</f>
        <v/>
      </c>
    </row>
    <row r="29">
      <c r="A29" s="4" t="inlineStr">
        <is>
          <t>AKKS003-W</t>
        </is>
      </c>
      <c r="B29" s="4" t="inlineStr">
        <is>
          <t>Plastic shower head, white</t>
        </is>
      </c>
      <c r="C29" s="4">
        <f>IFERROR(INDEX(Conversion!$C$2:$C$500,MATCH($A29,Conversion!$B$2:$B$500,0)),"NOT ASSIGNED")</f>
        <v/>
      </c>
    </row>
    <row r="30">
      <c r="A30" s="4" t="inlineStr">
        <is>
          <t>AKKS003-W-19</t>
        </is>
      </c>
      <c r="B30" s="4" t="inlineStr">
        <is>
          <t>Plastic shower head white with 19mm hose tail MESC019 (separate)</t>
        </is>
      </c>
      <c r="C30" s="4">
        <f>IFERROR(INDEX(Conversion!$C$2:$C$500,MATCH($A30,Conversion!$B$2:$B$500,0)),"NOT ASSIGNED")</f>
        <v/>
      </c>
    </row>
    <row r="31">
      <c r="A31" s="4" t="inlineStr">
        <is>
          <t>BALR001-B</t>
        </is>
      </c>
      <c r="B31" s="4" t="inlineStr">
        <is>
          <t>St.st. protected ball valve, 1/2" female x 1/2" female, blue</t>
        </is>
      </c>
      <c r="C31" s="4">
        <f>IFERROR(INDEX(Conversion!$C$2:$C$500,MATCH($A31,Conversion!$B$2:$B$500,0)),"NOT ASSIGNED")</f>
        <v/>
      </c>
    </row>
    <row r="32">
      <c r="A32" s="4" t="inlineStr">
        <is>
          <t>BALRCP1-B</t>
        </is>
      </c>
      <c r="B32" s="4" t="inlineStr">
        <is>
          <t>St.st. protected ball valve, 1/2" female x st.st. coupler with protection, blue</t>
        </is>
      </c>
      <c r="C32" s="4">
        <f>IFERROR(INDEX(Conversion!$C$2:$C$500,MATCH($A32,Conversion!$B$2:$B$500,0)),"NOT ASSIGNED")</f>
        <v/>
      </c>
    </row>
    <row r="33">
      <c r="A33" s="4" t="inlineStr">
        <is>
          <t>BALRCP1-NB</t>
        </is>
      </c>
      <c r="B33" s="4" t="inlineStr">
        <is>
          <t>St.st. protected ball valve, 1/2" female x st.st. coupler with nylon protection, blue</t>
        </is>
      </c>
      <c r="C33" s="4">
        <f>IFERROR(INDEX(Conversion!$C$2:$C$500,MATCH($A33,Conversion!$B$2:$B$500,0)),"NOT ASSIGNED")</f>
        <v/>
      </c>
    </row>
    <row r="34">
      <c r="A34" s="4" t="inlineStr">
        <is>
          <t>BARRCP2-B</t>
        </is>
      </c>
      <c r="B34" s="4" t="inlineStr">
        <is>
          <t>Stainless steel (AISI 316) ball valve with mechanical protection, coupler with blue protection and adapter</t>
        </is>
      </c>
      <c r="C34" s="4">
        <f>IFERROR(INDEX(Conversion!$C$2:$C$500,MATCH($A34,Conversion!$B$2:$B$500,0)),"NOT ASSIGNED")</f>
        <v/>
      </c>
    </row>
    <row r="35">
      <c r="A35" s="4" t="inlineStr">
        <is>
          <t>SWM09-12</t>
        </is>
      </c>
      <c r="B35" s="4" t="inlineStr">
        <is>
          <t>Brass ball bearing swivel, 1/2" male x 1/2" female, 9mm bore, flat seals</t>
        </is>
      </c>
      <c r="C35" s="4">
        <f>IFERROR(INDEX(Conversion!$C$2:$C$500,MATCH($A35,Conversion!$B$2:$B$500,0)),"NOT ASSIGNED")</f>
        <v/>
      </c>
    </row>
    <row r="36">
      <c r="A36" s="4" t="inlineStr">
        <is>
          <t>SWM09-34</t>
        </is>
      </c>
      <c r="B36" s="4" t="inlineStr">
        <is>
          <t>Brass ball bearing swivel, 1/2" male x 3/4" female, 9mm bore, flat seals</t>
        </is>
      </c>
      <c r="C36" s="4">
        <f>IFERROR(INDEX(Conversion!$C$2:$C$500,MATCH($A36,Conversion!$B$2:$B$500,0)),"NOT ASSIGNED")</f>
        <v/>
      </c>
    </row>
    <row r="37">
      <c r="A37" s="4" t="inlineStr">
        <is>
          <t>SWM14-34</t>
        </is>
      </c>
      <c r="B37" s="4" t="inlineStr">
        <is>
          <t>Brass ball bearing swivel, 1/2" male x 3/4" female, 14mm bore, flat seals</t>
        </is>
      </c>
      <c r="C37" s="4">
        <f>IFERROR(INDEX(Conversion!$C$2:$C$500,MATCH($A37,Conversion!$B$2:$B$500,0)),"NOT ASSIGNED")</f>
        <v/>
      </c>
    </row>
    <row r="38">
      <c r="A38" s="4" t="inlineStr">
        <is>
          <t>SWM14-34X34</t>
        </is>
      </c>
      <c r="B38" s="4" t="inlineStr">
        <is>
          <t>Brass ball bearing swivel, 3/4" male x 3/4" female, 14mm bore, flat seals</t>
        </is>
      </c>
      <c r="C38" s="4">
        <f>IFERROR(INDEX(Conversion!$C$2:$C$500,MATCH($A38,Conversion!$B$2:$B$500,0)),"NOT ASSIGNED")</f>
        <v/>
      </c>
    </row>
    <row r="39">
      <c r="A39" s="4" t="inlineStr">
        <is>
          <t>SWM18-1X1</t>
        </is>
      </c>
      <c r="B39" s="4" t="inlineStr">
        <is>
          <t>Brass ball bearing swivel, 1" male x 1" female, 18mm bore, flat seals</t>
        </is>
      </c>
      <c r="C39" s="4">
        <f>IFERROR(INDEX(Conversion!$C$2:$C$500,MATCH($A39,Conversion!$B$2:$B$500,0)),"NOT ASSIGNED")</f>
        <v/>
      </c>
    </row>
    <row r="40">
      <c r="A40" s="4" t="inlineStr">
        <is>
          <t>SWM09-12MX12M</t>
        </is>
      </c>
      <c r="B40" s="4" t="inlineStr">
        <is>
          <t>Brass ball bearing swivel, 1/2" male x 1/2" male, 9mm bore, flat seals</t>
        </is>
      </c>
      <c r="C40" s="4">
        <f>IFERROR(INDEX(Conversion!$C$2:$C$500,MATCH($A40,Conversion!$B$2:$B$500,0)),"NOT ASSIGNED")</f>
        <v/>
      </c>
    </row>
    <row r="41">
      <c r="A41" s="4" t="inlineStr">
        <is>
          <t>SWM09-12MX34M</t>
        </is>
      </c>
      <c r="B41" s="4" t="inlineStr">
        <is>
          <t>Brass ball bearing swivel, 1/2" male x 3/4" male, 9mm bore, flat seal</t>
        </is>
      </c>
      <c r="C41" s="4">
        <f>IFERROR(INDEX(Conversion!$C$2:$C$500,MATCH($A41,Conversion!$B$2:$B$500,0)),"NOT ASSIGNED")</f>
        <v/>
      </c>
    </row>
    <row r="42">
      <c r="A42" s="4" t="inlineStr">
        <is>
          <t>SWC09-12</t>
        </is>
      </c>
      <c r="B42" s="4" t="inlineStr">
        <is>
          <t>Chrome plated brass ball bearing swivel, 1/2" male x 1/2" female, 9mm bore, flat seals</t>
        </is>
      </c>
      <c r="C42" s="4">
        <f>IFERROR(INDEX(Conversion!$C$2:$C$500,MATCH($A42,Conversion!$B$2:$B$500,0)),"NOT ASSIGNED")</f>
        <v/>
      </c>
    </row>
    <row r="43">
      <c r="A43" s="4" t="inlineStr">
        <is>
          <t>SWC09-34</t>
        </is>
      </c>
      <c r="B43" s="4" t="inlineStr">
        <is>
          <t>Chrome plated brass ball bearing swivel, 1/2" male x 3/4" female, 9mm bore, flat seals</t>
        </is>
      </c>
      <c r="C43" s="4">
        <f>IFERROR(INDEX(Conversion!$C$2:$C$500,MATCH($A43,Conversion!$B$2:$B$500,0)),"NOT ASSIGNED")</f>
        <v/>
      </c>
    </row>
    <row r="44">
      <c r="A44" s="4" t="inlineStr">
        <is>
          <t>SWR09-12</t>
        </is>
      </c>
      <c r="B44" s="4" t="inlineStr">
        <is>
          <t>St.st. ball bearing swivel, 1/2" male x 1/2" female, 9mm bore, flat seals</t>
        </is>
      </c>
      <c r="C44" s="4">
        <f>IFERROR(INDEX(Conversion!$C$2:$C$500,MATCH($A44,Conversion!$B$2:$B$500,0)),"NOT ASSIGNED")</f>
        <v/>
      </c>
    </row>
    <row r="45">
      <c r="A45" s="4" t="inlineStr">
        <is>
          <t>SWR09-34</t>
        </is>
      </c>
      <c r="B45" s="4" t="inlineStr">
        <is>
          <t>St.st. ball bearing swivel, 1/2" male x 3/4" female, 9mm bore, flat seals</t>
        </is>
      </c>
      <c r="C45" s="4">
        <f>IFERROR(INDEX(Conversion!$C$2:$C$500,MATCH($A45,Conversion!$B$2:$B$500,0)),"NOT ASSIGNED")</f>
        <v/>
      </c>
    </row>
    <row r="46">
      <c r="A46" s="4" t="inlineStr">
        <is>
          <t>SWR14-34</t>
        </is>
      </c>
      <c r="B46" s="4" t="inlineStr">
        <is>
          <t>St.st. ball bearing swivel, 1/2" male x 3/4" female, 14mm bore, flat seals</t>
        </is>
      </c>
      <c r="C46" s="4">
        <f>IFERROR(INDEX(Conversion!$C$2:$C$500,MATCH($A46,Conversion!$B$2:$B$500,0)),"NOT ASSIGNED")</f>
        <v/>
      </c>
    </row>
    <row r="47">
      <c r="A47" s="4" t="inlineStr">
        <is>
          <t>SWR14-34X34</t>
        </is>
      </c>
      <c r="B47" s="4" t="inlineStr">
        <is>
          <t>St. st. ball bearing swivel, 3/4" male x 3/4" female, 14mm bore, flat seals</t>
        </is>
      </c>
      <c r="C47" s="4">
        <f>IFERROR(INDEX(Conversion!$C$2:$C$500,MATCH($A47,Conversion!$B$2:$B$500,0)),"NOT ASSIGNED")</f>
        <v/>
      </c>
    </row>
    <row r="48">
      <c r="A48" s="4" t="inlineStr">
        <is>
          <t>SWR18-1X1</t>
        </is>
      </c>
      <c r="B48" s="4" t="inlineStr">
        <is>
          <t>St.st. ball bearing swivel, 1" male x 1" female, 18mm bore, flat seals</t>
        </is>
      </c>
      <c r="C48" s="4">
        <f>IFERROR(INDEX(Conversion!$C$2:$C$500,MATCH($A48,Conversion!$B$2:$B$500,0)),"NOT ASSIGNED")</f>
        <v/>
      </c>
    </row>
    <row r="49">
      <c r="A49" s="4" t="inlineStr">
        <is>
          <t>SWR09-12Mx12M</t>
        </is>
      </c>
      <c r="B49" s="4" t="inlineStr">
        <is>
          <t>St.st. ball bearing swivel, 1/2" male x 1/2" male, 9mm bore</t>
        </is>
      </c>
      <c r="C49" s="4">
        <f>IFERROR(INDEX(Conversion!$C$2:$C$500,MATCH($A49,Conversion!$B$2:$B$500,0)),"NOT ASSIGNED")</f>
        <v/>
      </c>
    </row>
    <row r="50">
      <c r="A50" s="4" t="inlineStr">
        <is>
          <t>SWR09-12MX34M</t>
        </is>
      </c>
      <c r="B50" s="4" t="inlineStr">
        <is>
          <t>St.st. ball bearing swivel, 1/2" male x 3/4" male, 9mm bore, flat seal</t>
        </is>
      </c>
      <c r="C50" s="4">
        <f>IFERROR(INDEX(Conversion!$C$2:$C$500,MATCH($A50,Conversion!$B$2:$B$500,0)),"NOT ASSIGNED")</f>
        <v/>
      </c>
    </row>
    <row r="51">
      <c r="A51" s="4" t="inlineStr">
        <is>
          <t>SWIFM1/2</t>
        </is>
      </c>
      <c r="B51" s="4" t="inlineStr">
        <is>
          <t>Brass swivelling hose tail 13mm x 1/2" male</t>
        </is>
      </c>
      <c r="C51" s="4">
        <f>IFERROR(INDEX(Conversion!$C$2:$C$500,MATCH($A51,Conversion!$B$2:$B$500,0)),"NOT ASSIGNED")</f>
        <v/>
      </c>
    </row>
    <row r="52">
      <c r="A52" s="4" t="inlineStr">
        <is>
          <t>SWIFR1/2</t>
        </is>
      </c>
      <c r="B52" s="4" t="inlineStr">
        <is>
          <t>Stainless steel swivelling hose tail 13mm x 1/2" male</t>
        </is>
      </c>
      <c r="C52" s="4">
        <f>IFERROR(INDEX(Conversion!$C$2:$C$500,MATCH($A52,Conversion!$B$2:$B$500,0)),"NOT ASSIGNED")</f>
        <v/>
      </c>
    </row>
    <row r="53">
      <c r="A53" s="4" t="inlineStr">
        <is>
          <t>SWIFB10</t>
        </is>
      </c>
      <c r="B53" s="4" t="inlineStr">
        <is>
          <t>St.st. full bore swivelling hose tail, 10mm x 1/2" BSPT male</t>
        </is>
      </c>
      <c r="C53" s="4">
        <f>IFERROR(INDEX(Conversion!$C$2:$C$500,MATCH($A53,Conversion!$B$2:$B$500,0)),"NOT ASSIGNED")</f>
        <v/>
      </c>
    </row>
    <row r="54">
      <c r="A54" s="4" t="inlineStr">
        <is>
          <t>SWIFB13-C17</t>
        </is>
      </c>
      <c r="B54" s="4" t="inlineStr">
        <is>
          <t>St.st. full bore swivelling hose tail, 13mm x 1/2" male, 17mm collar</t>
        </is>
      </c>
      <c r="C54" s="4">
        <f>IFERROR(INDEX(Conversion!$C$2:$C$500,MATCH($A54,Conversion!$B$2:$B$500,0)),"NOT ASSIGNED")</f>
        <v/>
      </c>
    </row>
    <row r="55">
      <c r="A55" s="4" t="inlineStr">
        <is>
          <t>SWIFB13-C17-SP</t>
        </is>
      </c>
      <c r="B55" s="4" t="inlineStr">
        <is>
          <t>St.st. full bore swivelling hose tail, 13mm x 1/2" male, 17mm collar, inside hose protection spring.</t>
        </is>
      </c>
      <c r="C55" s="4">
        <f>IFERROR(INDEX(Conversion!$C$2:$C$500,MATCH($A55,Conversion!$B$2:$B$500,0)),"NOT ASSIGNED")</f>
        <v/>
      </c>
    </row>
    <row r="56">
      <c r="A56" s="4" t="inlineStr">
        <is>
          <t>SWIFB13-C20</t>
        </is>
      </c>
      <c r="B56" s="4" t="inlineStr">
        <is>
          <t>St.st. full bore swivelling hose tail, 13mm x 1/2" male, 20mm collar</t>
        </is>
      </c>
      <c r="C56" s="4">
        <f>IFERROR(INDEX(Conversion!$C$2:$C$500,MATCH($A56,Conversion!$B$2:$B$500,0)),"NOT ASSIGNED")</f>
        <v/>
      </c>
    </row>
    <row r="57">
      <c r="A57" s="4" t="inlineStr">
        <is>
          <t>SWIFB13-C20-SP</t>
        </is>
      </c>
      <c r="B57" s="4" t="inlineStr">
        <is>
          <t>St.st. full bore swivelling hose tail, 13mm x 1/2" male, 20mm collar, inside hose protection spring</t>
        </is>
      </c>
      <c r="C57" s="4">
        <f>IFERROR(INDEX(Conversion!$C$2:$C$500,MATCH($A57,Conversion!$B$2:$B$500,0)),"NOT ASSIGNED")</f>
        <v/>
      </c>
    </row>
    <row r="58">
      <c r="A58" s="4" t="inlineStr">
        <is>
          <t>SWIFB16-C21</t>
        </is>
      </c>
      <c r="B58" s="4" t="inlineStr">
        <is>
          <t>St.st. full bore swivelling hose tail, 16mm x 1/2" male, 21mm collar</t>
        </is>
      </c>
      <c r="C58" s="4">
        <f>IFERROR(INDEX(Conversion!$C$2:$C$500,MATCH($A58,Conversion!$B$2:$B$500,0)),"NOT ASSIGNED")</f>
        <v/>
      </c>
    </row>
    <row r="59">
      <c r="A59" s="4" t="inlineStr">
        <is>
          <t>SWIFB16-C21-SP</t>
        </is>
      </c>
      <c r="B59" s="4" t="inlineStr">
        <is>
          <t>St.st. full bore swivelling hose tail, 16mm x 1/2" male, 21mm collar, inside hose protection spring</t>
        </is>
      </c>
      <c r="C59" s="4">
        <f>IFERROR(INDEX(Conversion!$C$2:$C$500,MATCH($A59,Conversion!$B$2:$B$500,0)),"NOT ASSIGNED")</f>
        <v/>
      </c>
    </row>
    <row r="60">
      <c r="A60" s="4" t="inlineStr">
        <is>
          <t>SWIFB19-C24</t>
        </is>
      </c>
      <c r="B60" s="4" t="inlineStr">
        <is>
          <t>St.st. full bore swivelling hose tail, 19mm x 1/2" male, 24mm collar</t>
        </is>
      </c>
      <c r="C60" s="4">
        <f>IFERROR(INDEX(Conversion!$C$2:$C$500,MATCH($A60,Conversion!$B$2:$B$500,0)),"NOT ASSIGNED")</f>
        <v/>
      </c>
    </row>
    <row r="61">
      <c r="A61" s="4" t="inlineStr">
        <is>
          <t>SWIFB19-C24-34</t>
        </is>
      </c>
      <c r="B61" s="4" t="inlineStr">
        <is>
          <t>St.st. full bore swivelling hose tail, 19mm x 3/4" male, 24mm collar</t>
        </is>
      </c>
      <c r="C61" s="4">
        <f>IFERROR(INDEX(Conversion!$C$2:$C$500,MATCH($A61,Conversion!$B$2:$B$500,0)),"NOT ASSIGNED")</f>
        <v/>
      </c>
    </row>
    <row r="62">
      <c r="A62" s="4" t="inlineStr">
        <is>
          <t>SWIFB19-C24-34S</t>
        </is>
      </c>
      <c r="B62" s="4" t="inlineStr">
        <is>
          <t>St.st. full bore swivelling hose tail, 19mm x 3/4" male, 24mm collar, inside hose protection spring</t>
        </is>
      </c>
      <c r="C62" s="4">
        <f>IFERROR(INDEX(Conversion!$C$2:$C$500,MATCH($A62,Conversion!$B$2:$B$500,0)),"NOT ASSIGNED")</f>
        <v/>
      </c>
    </row>
    <row r="63">
      <c r="A63" s="4" t="inlineStr">
        <is>
          <t>SWIFB19-C24-SP</t>
        </is>
      </c>
      <c r="B63" s="4" t="inlineStr">
        <is>
          <t>St.st. full bore swivelling hose tail, 19mm x 1/2" male, 24mm collar, inside hose protection spring</t>
        </is>
      </c>
      <c r="C63" s="4">
        <f>IFERROR(INDEX(Conversion!$C$2:$C$500,MATCH($A63,Conversion!$B$2:$B$500,0)),"NOT ASSIGNED")</f>
        <v/>
      </c>
    </row>
    <row r="64">
      <c r="A64" s="4" t="inlineStr">
        <is>
          <t>MESS013</t>
        </is>
      </c>
      <c r="B64" s="4" t="inlineStr">
        <is>
          <t>Brass hose tail, 1/2" male x 13mm</t>
        </is>
      </c>
      <c r="C64" s="4">
        <f>IFERROR(INDEX(Conversion!$C$2:$C$500,MATCH($A64,Conversion!$B$2:$B$500,0)),"NOT ASSIGNED")</f>
        <v/>
      </c>
    </row>
    <row r="65">
      <c r="A65" s="4" t="inlineStr">
        <is>
          <t>MESS019</t>
        </is>
      </c>
      <c r="B65" s="4" t="inlineStr">
        <is>
          <t>Brass hose tail, 1/2" male x 19mm</t>
        </is>
      </c>
      <c r="C65" s="4">
        <f>IFERROR(INDEX(Conversion!$C$2:$C$500,MATCH($A65,Conversion!$B$2:$B$500,0)),"NOT ASSIGNED")</f>
        <v/>
      </c>
    </row>
    <row r="66">
      <c r="A66" s="4" t="inlineStr">
        <is>
          <t>MESS025</t>
        </is>
      </c>
      <c r="B66" s="4" t="inlineStr">
        <is>
          <t>Brass hose tail, 1/2" male x 25mm</t>
        </is>
      </c>
      <c r="C66" s="4">
        <f>IFERROR(INDEX(Conversion!$C$2:$C$500,MATCH($A66,Conversion!$B$2:$B$500,0)),"NOT ASSIGNED")</f>
        <v/>
      </c>
    </row>
    <row r="67">
      <c r="A67" s="4" t="inlineStr">
        <is>
          <t>MESC013</t>
        </is>
      </c>
      <c r="B67" s="4" t="inlineStr">
        <is>
          <t>Chrome plated brass hose tail, 1/2" BSP male with O-ring x 13mm</t>
        </is>
      </c>
      <c r="C67" s="4">
        <f>IFERROR(INDEX(Conversion!$C$2:$C$500,MATCH($A67,Conversion!$B$2:$B$500,0)),"NOT ASSIGNED")</f>
        <v/>
      </c>
    </row>
    <row r="68">
      <c r="A68" s="4" t="inlineStr">
        <is>
          <t>MESC016</t>
        </is>
      </c>
      <c r="B68" s="4" t="inlineStr">
        <is>
          <t>Chrome plated brass hose tail, 1/2" BSP male with O-ring x 16mm</t>
        </is>
      </c>
      <c r="C68" s="4">
        <f>IFERROR(INDEX(Conversion!$C$2:$C$500,MATCH($A68,Conversion!$B$2:$B$500,0)),"NOT ASSIGNED")</f>
        <v/>
      </c>
    </row>
    <row r="69">
      <c r="A69" s="4" t="inlineStr">
        <is>
          <t>MESC019</t>
        </is>
      </c>
      <c r="B69" s="4" t="inlineStr">
        <is>
          <t>Chrome plated brass hose tail, 1/2" BSP male with O-ring x 19mm</t>
        </is>
      </c>
      <c r="C69" s="4">
        <f>IFERROR(INDEX(Conversion!$C$2:$C$500,MATCH($A69,Conversion!$B$2:$B$500,0)),"NOT ASSIGNED")</f>
        <v/>
      </c>
    </row>
    <row r="70">
      <c r="A70" s="4" t="inlineStr">
        <is>
          <t>RVST013-C17</t>
        </is>
      </c>
      <c r="B70" s="4" t="inlineStr">
        <is>
          <t>St.st. hose tail, 1/2" male x 13mm, 17mm collar</t>
        </is>
      </c>
      <c r="C70" s="4">
        <f>IFERROR(INDEX(Conversion!$C$2:$C$500,MATCH($A70,Conversion!$B$2:$B$500,0)),"NOT ASSIGNED")</f>
        <v/>
      </c>
    </row>
    <row r="71">
      <c r="A71" s="4" t="inlineStr">
        <is>
          <t>RVST013-C17-SP</t>
        </is>
      </c>
      <c r="B71" s="4" t="inlineStr">
        <is>
          <t>St.st. hose tail, 1/2" male x 13mm, 17mm collar, inside hose protection spring</t>
        </is>
      </c>
      <c r="C71" s="4">
        <f>IFERROR(INDEX(Conversion!$C$2:$C$500,MATCH($A71,Conversion!$B$2:$B$500,0)),"NOT ASSIGNED")</f>
        <v/>
      </c>
    </row>
    <row r="72">
      <c r="A72" s="4" t="inlineStr">
        <is>
          <t>RVST013-C20</t>
        </is>
      </c>
      <c r="B72" s="4" t="inlineStr">
        <is>
          <t>St.st. hose tail, 1/2" male x 13mm, 20mm collar</t>
        </is>
      </c>
      <c r="C72" s="4">
        <f>IFERROR(INDEX(Conversion!$C$2:$C$500,MATCH($A72,Conversion!$B$2:$B$500,0)),"NOT ASSIGNED")</f>
        <v/>
      </c>
    </row>
    <row r="73">
      <c r="A73" s="4" t="inlineStr">
        <is>
          <t>RVST013-C20-12F</t>
        </is>
      </c>
      <c r="B73" s="4" t="inlineStr">
        <is>
          <t>St.st. hose tail, 1/2" female x 13mm, 20mm collar</t>
        </is>
      </c>
      <c r="C73" s="4">
        <f>IFERROR(INDEX(Conversion!$C$2:$C$500,MATCH($A73,Conversion!$B$2:$B$500,0)),"NOT ASSIGNED")</f>
        <v/>
      </c>
    </row>
    <row r="74">
      <c r="A74" s="4" t="inlineStr">
        <is>
          <t>RVST013-C20-34F</t>
        </is>
      </c>
      <c r="B74" s="4" t="inlineStr">
        <is>
          <t>St.st. hose tail, 3/4" female x 13mm, 20mm collar</t>
        </is>
      </c>
      <c r="C74" s="4">
        <f>IFERROR(INDEX(Conversion!$C$2:$C$500,MATCH($A74,Conversion!$B$2:$B$500,0)),"NOT ASSIGNED")</f>
        <v/>
      </c>
    </row>
    <row r="75">
      <c r="A75" s="4" t="inlineStr">
        <is>
          <t>RVST013-C20-SP</t>
        </is>
      </c>
      <c r="B75" s="4" t="inlineStr">
        <is>
          <t>St.st. hose tail, 1/2" male x 13mm, 20mm collar, inside hose protection spring</t>
        </is>
      </c>
      <c r="C75" s="4">
        <f>IFERROR(INDEX(Conversion!$C$2:$C$500,MATCH($A75,Conversion!$B$2:$B$500,0)),"NOT ASSIGNED")</f>
        <v/>
      </c>
    </row>
    <row r="76">
      <c r="A76" s="4" t="inlineStr">
        <is>
          <t>RVST016-C21</t>
        </is>
      </c>
      <c r="B76" s="4" t="inlineStr">
        <is>
          <t>St.st. hose tail, 1/2" male x 16mm, 21mm collar</t>
        </is>
      </c>
      <c r="C76" s="4">
        <f>IFERROR(INDEX(Conversion!$C$2:$C$500,MATCH($A76,Conversion!$B$2:$B$500,0)),"NOT ASSIGNED")</f>
        <v/>
      </c>
    </row>
    <row r="77">
      <c r="A77" s="4" t="inlineStr">
        <is>
          <t>RVST016-C21-SP</t>
        </is>
      </c>
      <c r="B77" s="4" t="inlineStr">
        <is>
          <t>St.st. hose tail, 1/2" male x 16mm, 21mm collar, inside hose protection spring</t>
        </is>
      </c>
      <c r="C77" s="4">
        <f>IFERROR(INDEX(Conversion!$C$2:$C$500,MATCH($A77,Conversion!$B$2:$B$500,0)),"NOT ASSIGNED")</f>
        <v/>
      </c>
    </row>
    <row r="78">
      <c r="A78" s="4" t="inlineStr">
        <is>
          <t>RVST019-C24</t>
        </is>
      </c>
      <c r="B78" s="4" t="inlineStr">
        <is>
          <t>St.st. hose tail, 1/2" male x 19mm, 24mm collar</t>
        </is>
      </c>
      <c r="C78" s="4">
        <f>IFERROR(INDEX(Conversion!$C$2:$C$500,MATCH($A78,Conversion!$B$2:$B$500,0)),"NOT ASSIGNED")</f>
        <v/>
      </c>
    </row>
    <row r="79">
      <c r="A79" s="4" t="inlineStr">
        <is>
          <t>RVST019-C24-SP</t>
        </is>
      </c>
      <c r="B79" s="4" t="inlineStr">
        <is>
          <t>St.st. hose tail, 1/2" male x 19mm, 24mm collar, inside hose protection spring</t>
        </is>
      </c>
      <c r="C79" s="4">
        <f>IFERROR(INDEX(Conversion!$C$2:$C$500,MATCH($A79,Conversion!$B$2:$B$500,0)),"NOT ASSIGNED")</f>
        <v/>
      </c>
    </row>
    <row r="80">
      <c r="A80" s="4" t="inlineStr">
        <is>
          <t>RVST025</t>
        </is>
      </c>
      <c r="B80" s="4" t="inlineStr">
        <is>
          <t>St.st. hose tail, 1/2" male x 25mm</t>
        </is>
      </c>
      <c r="C80" s="4">
        <f>IFERROR(INDEX(Conversion!$C$2:$C$500,MATCH($A80,Conversion!$B$2:$B$500,0)),"NOT ASSIGNED")</f>
        <v/>
      </c>
    </row>
    <row r="81">
      <c r="A81" s="4" t="inlineStr">
        <is>
          <t>RVSW13C17-12C</t>
        </is>
      </c>
      <c r="B81" s="4" t="inlineStr">
        <is>
          <t>St.st. hose tail 13mm x 1/2" BSP female screw cap with conical seal, 17mm collar</t>
        </is>
      </c>
      <c r="C81" s="4">
        <f>IFERROR(INDEX(Conversion!$C$2:$C$500,MATCH($A81,Conversion!$B$2:$B$500,0)),"NOT ASSIGNED")</f>
        <v/>
      </c>
    </row>
    <row r="82">
      <c r="A82" s="4" t="inlineStr">
        <is>
          <t>RVSW13C17-34F</t>
        </is>
      </c>
      <c r="B82" s="4" t="inlineStr">
        <is>
          <t>St.st. hose tail 13mm x 3/4" BSP female screw cap with flat seal, 17mm collar</t>
        </is>
      </c>
      <c r="C82" s="4">
        <f>IFERROR(INDEX(Conversion!$C$2:$C$500,MATCH($A82,Conversion!$B$2:$B$500,0)),"NOT ASSIGNED")</f>
        <v/>
      </c>
    </row>
    <row r="83">
      <c r="A83" s="4" t="inlineStr">
        <is>
          <t>RVSW13C20-12C</t>
        </is>
      </c>
      <c r="B83" s="4" t="inlineStr">
        <is>
          <t>St.st. hose tail 13mm x 1/2" BSP female screw cap with conical seal, 20mm collar</t>
        </is>
      </c>
      <c r="C83" s="4">
        <f>IFERROR(INDEX(Conversion!$C$2:$C$500,MATCH($A83,Conversion!$B$2:$B$500,0)),"NOT ASSIGNED")</f>
        <v/>
      </c>
    </row>
    <row r="84">
      <c r="A84" s="4" t="inlineStr">
        <is>
          <t>RVSW13C20-12F</t>
        </is>
      </c>
      <c r="B84" s="4" t="inlineStr">
        <is>
          <t>St.st. hose tail 13mm x 1/2" BSP female screw cap with flat seal, 20mm collar</t>
        </is>
      </c>
      <c r="C84" s="4">
        <f>IFERROR(INDEX(Conversion!$C$2:$C$500,MATCH($A84,Conversion!$B$2:$B$500,0)),"NOT ASSIGNED")</f>
        <v/>
      </c>
    </row>
    <row r="85">
      <c r="A85" s="4" t="inlineStr">
        <is>
          <t>RVSW13C20-12FS</t>
        </is>
      </c>
      <c r="B85" s="4" t="inlineStr">
        <is>
          <t>St.st. hose tail 13mm x 1/2" BSP female screw cap with flat seal, 20mm collar and spring</t>
        </is>
      </c>
      <c r="C85" s="4">
        <f>IFERROR(INDEX(Conversion!$C$2:$C$500,MATCH($A85,Conversion!$B$2:$B$500,0)),"NOT ASSIGNED")</f>
        <v/>
      </c>
    </row>
    <row r="86">
      <c r="A86" s="4" t="inlineStr">
        <is>
          <t>RVSW13C20-34F</t>
        </is>
      </c>
      <c r="B86" s="4" t="inlineStr">
        <is>
          <t>St.st. hose tail 13mm x 3/4" BSP female screw cap with flat seal, 20mm collar</t>
        </is>
      </c>
      <c r="C86" s="4">
        <f>IFERROR(INDEX(Conversion!$C$2:$C$500,MATCH($A86,Conversion!$B$2:$B$500,0)),"NOT ASSIGNED")</f>
        <v/>
      </c>
    </row>
    <row r="87">
      <c r="A87" s="4" t="inlineStr">
        <is>
          <t>RVSW16C21-12C</t>
        </is>
      </c>
      <c r="B87" s="4" t="inlineStr">
        <is>
          <t>St.st. hose tail 16mm x 1/2" BSP female screw cap with conical seal, 21mm collar</t>
        </is>
      </c>
      <c r="C87" s="4">
        <f>IFERROR(INDEX(Conversion!$C$2:$C$500,MATCH($A87,Conversion!$B$2:$B$500,0)),"NOT ASSIGNED")</f>
        <v/>
      </c>
    </row>
    <row r="88">
      <c r="A88" s="4" t="inlineStr">
        <is>
          <t>RVSW16C21-12CS</t>
        </is>
      </c>
      <c r="B88" s="4" t="inlineStr">
        <is>
          <t>St.st. hose tail 16mm x 1/2" BSP female screw cap with conical seal, 21mm collar and spring</t>
        </is>
      </c>
      <c r="C88" s="4">
        <f>IFERROR(INDEX(Conversion!$C$2:$C$500,MATCH($A88,Conversion!$B$2:$B$500,0)),"NOT ASSIGNED")</f>
        <v/>
      </c>
    </row>
    <row r="89">
      <c r="A89" s="4" t="inlineStr">
        <is>
          <t>RVSW16C21-12F</t>
        </is>
      </c>
      <c r="B89" s="4" t="inlineStr">
        <is>
          <t>St.st. hose tail 16mm x 1/2" BSP female screw cap with flat seal, 21mm collar</t>
        </is>
      </c>
      <c r="C89" s="4">
        <f>IFERROR(INDEX(Conversion!$C$2:$C$500,MATCH($A89,Conversion!$B$2:$B$500,0)),"NOT ASSIGNED")</f>
        <v/>
      </c>
    </row>
    <row r="90">
      <c r="A90" s="4" t="inlineStr">
        <is>
          <t>RVSW16C21-34F</t>
        </is>
      </c>
      <c r="B90" s="4" t="inlineStr">
        <is>
          <t>St.st. hose tail 16mm x 3/4" BSP female screw cap with flat seal, 21mm collar</t>
        </is>
      </c>
      <c r="C90" s="4">
        <f>IFERROR(INDEX(Conversion!$C$2:$C$500,MATCH($A90,Conversion!$B$2:$B$500,0)),"NOT ASSIGNED")</f>
        <v/>
      </c>
    </row>
    <row r="91">
      <c r="A91" s="4" t="inlineStr">
        <is>
          <t>RVSW19C24-34C</t>
        </is>
      </c>
      <c r="B91" s="4" t="inlineStr">
        <is>
          <t>St.st. hose tail 19mm x 3/4" BSP female screw cap with conical seal, 24mm collar</t>
        </is>
      </c>
      <c r="C91" s="4">
        <f>IFERROR(INDEX(Conversion!$C$2:$C$500,MATCH($A91,Conversion!$B$2:$B$500,0)),"NOT ASSIGNED")</f>
        <v/>
      </c>
    </row>
    <row r="92">
      <c r="A92" s="4" t="inlineStr">
        <is>
          <t>RVSW19C24-34F</t>
        </is>
      </c>
      <c r="B92" s="4" t="inlineStr">
        <is>
          <t>St.st. hose tail 19mm x 3/4" BSP female screw cap with flat seal, 24mm collar</t>
        </is>
      </c>
      <c r="C92" s="4">
        <f>IFERROR(INDEX(Conversion!$C$2:$C$500,MATCH($A92,Conversion!$B$2:$B$500,0)),"NOT ASSIGNED")</f>
        <v/>
      </c>
    </row>
    <row r="93">
      <c r="A93" s="4" t="inlineStr">
        <is>
          <t>RVSW19C24-1C</t>
        </is>
      </c>
      <c r="B93" s="4" t="inlineStr">
        <is>
          <t>St.st. hose tail 19mm x 1" BSP female screw cap with conical seal, 24mm collar</t>
        </is>
      </c>
      <c r="C93" s="4">
        <f>IFERROR(INDEX(Conversion!$C$2:$C$500,MATCH($A93,Conversion!$B$2:$B$500,0)),"NOT ASSIGNED")</f>
        <v/>
      </c>
    </row>
    <row r="94">
      <c r="A94" s="4" t="inlineStr">
        <is>
          <t>RVSW19C24-1F</t>
        </is>
      </c>
      <c r="B94" s="4" t="inlineStr">
        <is>
          <t>St.st. hose tail 19mm x 1" BSP female screw cap with flat seal, 24mm collar</t>
        </is>
      </c>
      <c r="C94" s="4">
        <f>IFERROR(INDEX(Conversion!$C$2:$C$500,MATCH($A94,Conversion!$B$2:$B$500,0)),"NOT ASSIGNED")</f>
        <v/>
      </c>
    </row>
    <row r="95">
      <c r="A95" s="4" t="inlineStr">
        <is>
          <t>RVSW25C36-1C</t>
        </is>
      </c>
      <c r="B95" s="4" t="inlineStr">
        <is>
          <t>St.st. hose tail 25mm x 1" BSP female screw cap with conical seal, 36mm collar</t>
        </is>
      </c>
      <c r="C95" s="4">
        <f>IFERROR(INDEX(Conversion!$C$2:$C$500,MATCH($A95,Conversion!$B$2:$B$500,0)),"NOT ASSIGNED")</f>
        <v/>
      </c>
    </row>
    <row r="96">
      <c r="A96" s="10" t="inlineStr">
        <is>
          <t>91 items at build time (column C updates as codes are added to the Conversion sheet).</t>
        </is>
      </c>
    </row>
    <row r="98">
      <c r="A98" s="3" t="inlineStr">
        <is>
          <t>2. Weights not printed in the AKBO 2026 catalogue (estimated - please confirm with AKBO)</t>
        </is>
      </c>
    </row>
    <row r="99">
      <c r="A99" s="16" t="inlineStr">
        <is>
          <t>AKBO code</t>
        </is>
      </c>
      <c r="B99" s="16" t="inlineStr">
        <is>
          <t>Estimated kg</t>
        </is>
      </c>
      <c r="C99" s="16" t="inlineStr">
        <is>
          <t>Basis</t>
        </is>
      </c>
    </row>
    <row r="100">
      <c r="A100" s="4" t="inlineStr">
        <is>
          <t>AKMBP01-BL</t>
        </is>
      </c>
      <c r="B100" s="34" t="n">
        <v>1.036</v>
      </c>
      <c r="C100" s="4" t="inlineStr">
        <is>
          <t>ESTIMATE - not tabulated; AKMB001-BL + trigger guard (AKMN delta)</t>
        </is>
      </c>
    </row>
    <row r="101">
      <c r="A101" s="4" t="inlineStr">
        <is>
          <t>AKRB001-BL</t>
        </is>
      </c>
      <c r="B101" s="34" t="n">
        <v>0.84</v>
      </c>
      <c r="C101" s="4" t="inlineStr">
        <is>
          <t>ESTIMATE - not tabulated; taken as AKMB001-BL</t>
        </is>
      </c>
    </row>
    <row r="102">
      <c r="A102" s="4" t="inlineStr">
        <is>
          <t>BABTA01-B</t>
        </is>
      </c>
      <c r="B102" s="34" t="n">
        <v>0.365</v>
      </c>
      <c r="C102" s="4" t="inlineStr">
        <is>
          <t>ESTIMATE - not in catalogue; taken as BABTLF1-BL</t>
        </is>
      </c>
    </row>
    <row r="103">
      <c r="A103" s="4" t="inlineStr">
        <is>
          <t>BABTNAA-B</t>
        </is>
      </c>
      <c r="B103" s="34" t="n">
        <v>0.37</v>
      </c>
      <c r="C103" s="4" t="inlineStr">
        <is>
          <t>ESTIMATE - not in catalogue; BABTN01-B + adapters</t>
        </is>
      </c>
    </row>
    <row r="104">
      <c r="A104" s="4" t="inlineStr">
        <is>
          <t>BMBTL01-B</t>
        </is>
      </c>
      <c r="B104" s="34" t="n">
        <v>0.65</v>
      </c>
      <c r="C104" s="4" t="inlineStr">
        <is>
          <t>ESTIMATE - not in catalogue; taken as BMBNN01-B</t>
        </is>
      </c>
    </row>
    <row r="105">
      <c r="A105" s="4" t="inlineStr">
        <is>
          <t>BMBTA01-B</t>
        </is>
      </c>
      <c r="B105" s="34" t="n">
        <v>0.65</v>
      </c>
      <c r="C105" s="4" t="inlineStr">
        <is>
          <t>ESTIMATE - not in catalogue; taken as BMBNN01-B</t>
        </is>
      </c>
    </row>
    <row r="106">
      <c r="A106" s="4" t="inlineStr">
        <is>
          <t>BMBTA02-B-V</t>
        </is>
      </c>
      <c r="B106" s="34" t="n">
        <v>0.65</v>
      </c>
      <c r="C106" s="4" t="inlineStr">
        <is>
          <t>ESTIMATE - not in catalogue; taken as BMBNN01-B</t>
        </is>
      </c>
    </row>
    <row r="107">
      <c r="A107" s="4" t="inlineStr">
        <is>
          <t>AKMSHHL1-BL</t>
        </is>
      </c>
      <c r="B107" s="34" t="n">
        <v>0.21</v>
      </c>
      <c r="C107" s="4" t="inlineStr">
        <is>
          <t>ESTIMATE - AKMSHL1-B 510 g less GRIPML1-B 300 g (p.53/55)</t>
        </is>
      </c>
    </row>
    <row r="108">
      <c r="A108" s="4" t="inlineStr">
        <is>
          <t>AKRSHHL1-BL</t>
        </is>
      </c>
      <c r="B108" s="34" t="n">
        <v>0.21</v>
      </c>
      <c r="C108" s="4" t="inlineStr">
        <is>
          <t>ESTIMATE - AKRSHL1-B 550 g less GRIPRL1-B 340 g (p.53/55)</t>
        </is>
      </c>
    </row>
    <row r="109">
      <c r="A109" s="4" t="inlineStr">
        <is>
          <t>AKWMS01</t>
        </is>
      </c>
      <c r="B109" s="34" t="n">
        <v>0.3</v>
      </c>
      <c r="C109" s="4" t="inlineStr">
        <is>
          <t>ESTIMATE - weight not in catalogue (p.45)</t>
        </is>
      </c>
    </row>
    <row r="110">
      <c r="A110" s="4" t="inlineStr">
        <is>
          <t>AKWMM01</t>
        </is>
      </c>
      <c r="B110" s="34" t="n">
        <v>0.3</v>
      </c>
      <c r="C110" s="4" t="inlineStr">
        <is>
          <t>ESTIMATE - weight not in catalogue (p.45)</t>
        </is>
      </c>
    </row>
    <row r="111">
      <c r="A111" s="4" t="inlineStr">
        <is>
          <t>AKWML01</t>
        </is>
      </c>
      <c r="B111" s="34" t="n">
        <v>0.3</v>
      </c>
      <c r="C111" s="4" t="inlineStr">
        <is>
          <t>ESTIMATE - weight not in catalogue (p.45)</t>
        </is>
      </c>
    </row>
    <row r="112">
      <c r="A112" s="4" t="inlineStr">
        <is>
          <t>AKWMR01</t>
        </is>
      </c>
      <c r="B112" s="34" t="n">
        <v>0.3</v>
      </c>
      <c r="C112" s="4" t="inlineStr">
        <is>
          <t>ESTIMATE - weight not in catalogue (p.45)</t>
        </is>
      </c>
    </row>
    <row r="113">
      <c r="A113" s="4" t="inlineStr">
        <is>
          <t>AKWRS01</t>
        </is>
      </c>
      <c r="B113" s="34" t="n">
        <v>0.3</v>
      </c>
      <c r="C113" s="4" t="inlineStr">
        <is>
          <t>ESTIMATE - weight not in catalogue (p.45)</t>
        </is>
      </c>
    </row>
    <row r="114">
      <c r="A114" s="4" t="inlineStr">
        <is>
          <t>AKWRM01</t>
        </is>
      </c>
      <c r="B114" s="34" t="n">
        <v>0.3</v>
      </c>
      <c r="C114" s="4" t="inlineStr">
        <is>
          <t>ESTIMATE - weight not in catalogue (p.45)</t>
        </is>
      </c>
    </row>
    <row r="115">
      <c r="A115" s="4" t="inlineStr">
        <is>
          <t>AKWRL01</t>
        </is>
      </c>
      <c r="B115" s="34" t="n">
        <v>0.3</v>
      </c>
      <c r="C115" s="4" t="inlineStr">
        <is>
          <t>ESTIMATE - weight not in catalogue (p.45)</t>
        </is>
      </c>
    </row>
    <row r="116">
      <c r="A116" s="4" t="inlineStr">
        <is>
          <t>AKWRR01</t>
        </is>
      </c>
      <c r="B116" s="34" t="n">
        <v>0.3</v>
      </c>
      <c r="C116" s="4" t="inlineStr">
        <is>
          <t>ESTIMATE - weight not in catalogue (p.45)</t>
        </is>
      </c>
    </row>
    <row r="117">
      <c r="A117" s="4" t="inlineStr">
        <is>
          <t>BWNM045</t>
        </is>
      </c>
      <c r="B117" s="34" t="n">
        <v>0.25</v>
      </c>
      <c r="C117" s="4" t="inlineStr">
        <is>
          <t>ESTIMATE - weight not in catalogue (p.46)</t>
        </is>
      </c>
    </row>
    <row r="118">
      <c r="A118" s="4" t="inlineStr">
        <is>
          <t>AKKS003-B-19</t>
        </is>
      </c>
      <c r="B118" s="34" t="n">
        <v>0.3</v>
      </c>
      <c r="C118" s="4" t="inlineStr">
        <is>
          <t>ESTIMATE - 260 g shower (p.26) + MESC019 hose tail est.</t>
        </is>
      </c>
    </row>
    <row r="119">
      <c r="A119" s="4" t="inlineStr">
        <is>
          <t>AKKS003-W-19</t>
        </is>
      </c>
      <c r="B119" s="34" t="n">
        <v>0.3</v>
      </c>
      <c r="C119" s="4" t="inlineStr">
        <is>
          <t>ESTIMATE - 260 g shower (p.26) + MESC019 hose tail est.</t>
        </is>
      </c>
    </row>
    <row r="120">
      <c r="A120" s="4" t="inlineStr">
        <is>
          <t>BALR001-B</t>
        </is>
      </c>
      <c r="B120" s="34" t="n">
        <v>0.4</v>
      </c>
      <c r="C120" s="4" t="inlineStr">
        <is>
          <t>ESTIMATE - weight not in catalogue (p.38)</t>
        </is>
      </c>
    </row>
    <row r="121">
      <c r="A121" s="4" t="inlineStr">
        <is>
          <t>BALRCP1-B</t>
        </is>
      </c>
      <c r="B121" s="34" t="n">
        <v>0.55</v>
      </c>
      <c r="C121" s="4" t="inlineStr">
        <is>
          <t>ESTIMATE - weight not in catalogue (p.38)</t>
        </is>
      </c>
    </row>
    <row r="122">
      <c r="A122" s="4" t="inlineStr">
        <is>
          <t>BALRCP1-NB</t>
        </is>
      </c>
      <c r="B122" s="34" t="n">
        <v>0.55</v>
      </c>
      <c r="C122" s="4" t="inlineStr">
        <is>
          <t>ESTIMATE - weight not in catalogue (p.38)</t>
        </is>
      </c>
    </row>
    <row r="123">
      <c r="A123" s="4" t="inlineStr">
        <is>
          <t>BARRCP2-B</t>
        </is>
      </c>
      <c r="B123" s="34" t="n">
        <v>0.6</v>
      </c>
      <c r="C123" s="4" t="inlineStr">
        <is>
          <t>ESTIMATE - weight not in catalogue (p.38)</t>
        </is>
      </c>
    </row>
    <row r="124">
      <c r="A124" s="4" t="inlineStr">
        <is>
          <t>SWM09-12</t>
        </is>
      </c>
      <c r="B124" s="34" t="n">
        <v>0.09</v>
      </c>
      <c r="C124" s="4" t="inlineStr">
        <is>
          <t>ESTIMATE - catalogue gives dimensions only (p.68-71)</t>
        </is>
      </c>
    </row>
    <row r="125">
      <c r="A125" s="4" t="inlineStr">
        <is>
          <t>SWM09-34</t>
        </is>
      </c>
      <c r="B125" s="34" t="n">
        <v>0.1</v>
      </c>
      <c r="C125" s="4" t="inlineStr">
        <is>
          <t>ESTIMATE - catalogue gives dimensions only (p.68-71)</t>
        </is>
      </c>
    </row>
    <row r="126">
      <c r="A126" s="4" t="inlineStr">
        <is>
          <t>SWM14-34</t>
        </is>
      </c>
      <c r="B126" s="34" t="n">
        <v>0.13</v>
      </c>
      <c r="C126" s="4" t="inlineStr">
        <is>
          <t>ESTIMATE - catalogue gives dimensions only (p.68-71)</t>
        </is>
      </c>
    </row>
    <row r="127">
      <c r="A127" s="4" t="inlineStr">
        <is>
          <t>SWM14-34X34</t>
        </is>
      </c>
      <c r="B127" s="34" t="n">
        <v>0.15</v>
      </c>
      <c r="C127" s="4" t="inlineStr">
        <is>
          <t>ESTIMATE - catalogue gives dimensions only (p.68-71)</t>
        </is>
      </c>
    </row>
    <row r="128">
      <c r="A128" s="4" t="inlineStr">
        <is>
          <t>SWM18-1X1</t>
        </is>
      </c>
      <c r="B128" s="34" t="n">
        <v>0.25</v>
      </c>
      <c r="C128" s="4" t="inlineStr">
        <is>
          <t>ESTIMATE - catalogue gives dimensions only (p.68-71)</t>
        </is>
      </c>
    </row>
    <row r="129">
      <c r="A129" s="4" t="inlineStr">
        <is>
          <t>SWM09-12MX12M</t>
        </is>
      </c>
      <c r="B129" s="34" t="n">
        <v>0.09</v>
      </c>
      <c r="C129" s="4" t="inlineStr">
        <is>
          <t>ESTIMATE - catalogue gives dimensions only (p.68-71)</t>
        </is>
      </c>
    </row>
    <row r="130">
      <c r="A130" s="4" t="inlineStr">
        <is>
          <t>SWM09-12MX34M</t>
        </is>
      </c>
      <c r="B130" s="34" t="n">
        <v>0.1</v>
      </c>
      <c r="C130" s="4" t="inlineStr">
        <is>
          <t>ESTIMATE - catalogue gives dimensions only (p.68-71)</t>
        </is>
      </c>
    </row>
    <row r="131">
      <c r="A131" s="4" t="inlineStr">
        <is>
          <t>SWC09-12</t>
        </is>
      </c>
      <c r="B131" s="34" t="n">
        <v>0.09</v>
      </c>
      <c r="C131" s="4" t="inlineStr">
        <is>
          <t>ESTIMATE - catalogue gives dimensions only (p.68-71)</t>
        </is>
      </c>
    </row>
    <row r="132">
      <c r="A132" s="4" t="inlineStr">
        <is>
          <t>SWC09-34</t>
        </is>
      </c>
      <c r="B132" s="34" t="n">
        <v>0.1</v>
      </c>
      <c r="C132" s="4" t="inlineStr">
        <is>
          <t>ESTIMATE - catalogue gives dimensions only (p.68-71)</t>
        </is>
      </c>
    </row>
    <row r="133">
      <c r="A133" s="4" t="inlineStr">
        <is>
          <t>SWR09-12</t>
        </is>
      </c>
      <c r="B133" s="34" t="n">
        <v>0.09</v>
      </c>
      <c r="C133" s="4" t="inlineStr">
        <is>
          <t>ESTIMATE - catalogue gives dimensions only (p.68-71)</t>
        </is>
      </c>
    </row>
    <row r="134">
      <c r="A134" s="4" t="inlineStr">
        <is>
          <t>SWR09-34</t>
        </is>
      </c>
      <c r="B134" s="34" t="n">
        <v>0.1</v>
      </c>
      <c r="C134" s="4" t="inlineStr">
        <is>
          <t>ESTIMATE - catalogue gives dimensions only (p.68-71)</t>
        </is>
      </c>
    </row>
    <row r="135">
      <c r="A135" s="4" t="inlineStr">
        <is>
          <t>SWR14-34</t>
        </is>
      </c>
      <c r="B135" s="34" t="n">
        <v>0.13</v>
      </c>
      <c r="C135" s="4" t="inlineStr">
        <is>
          <t>ESTIMATE - catalogue gives dimensions only (p.68-71)</t>
        </is>
      </c>
    </row>
    <row r="136">
      <c r="A136" s="4" t="inlineStr">
        <is>
          <t>SWR14-34X34</t>
        </is>
      </c>
      <c r="B136" s="34" t="n">
        <v>0.15</v>
      </c>
      <c r="C136" s="4" t="inlineStr">
        <is>
          <t>ESTIMATE - catalogue gives dimensions only (p.68-71)</t>
        </is>
      </c>
    </row>
    <row r="137">
      <c r="A137" s="4" t="inlineStr">
        <is>
          <t>SWR18-1X1</t>
        </is>
      </c>
      <c r="B137" s="34" t="n">
        <v>0.25</v>
      </c>
      <c r="C137" s="4" t="inlineStr">
        <is>
          <t>ESTIMATE - catalogue gives dimensions only (p.68-71)</t>
        </is>
      </c>
    </row>
    <row r="138">
      <c r="A138" s="4" t="inlineStr">
        <is>
          <t>SWR09-12Mx12M</t>
        </is>
      </c>
      <c r="B138" s="34" t="n">
        <v>0.09</v>
      </c>
      <c r="C138" s="4" t="inlineStr">
        <is>
          <t>ESTIMATE - catalogue gives dimensions only (p.68-71)</t>
        </is>
      </c>
    </row>
    <row r="139">
      <c r="A139" s="4" t="inlineStr">
        <is>
          <t>SWR09-12MX34M</t>
        </is>
      </c>
      <c r="B139" s="34" t="n">
        <v>0.1</v>
      </c>
      <c r="C139" s="4" t="inlineStr">
        <is>
          <t>ESTIMATE - catalogue gives dimensions only (p.68-71)</t>
        </is>
      </c>
    </row>
    <row r="140">
      <c r="A140" s="4" t="inlineStr">
        <is>
          <t>SWIFM1/2</t>
        </is>
      </c>
      <c r="B140" s="34" t="n">
        <v>0.06</v>
      </c>
      <c r="C140" s="4" t="inlineStr">
        <is>
          <t>ESTIMATE - catalogue gives dimensions only (p.68-71)</t>
        </is>
      </c>
    </row>
    <row r="141">
      <c r="A141" s="4" t="inlineStr">
        <is>
          <t>SWIFR1/2</t>
        </is>
      </c>
      <c r="B141" s="34" t="n">
        <v>0.06</v>
      </c>
      <c r="C141" s="4" t="inlineStr">
        <is>
          <t>ESTIMATE - catalogue gives dimensions only (p.68-71)</t>
        </is>
      </c>
    </row>
    <row r="142">
      <c r="A142" s="4" t="inlineStr">
        <is>
          <t>SWIFB10</t>
        </is>
      </c>
      <c r="B142" s="34" t="n">
        <v>0.08</v>
      </c>
      <c r="C142" s="4" t="inlineStr">
        <is>
          <t>ESTIMATE - catalogue gives dimensions only (p.68-71)</t>
        </is>
      </c>
    </row>
    <row r="143">
      <c r="A143" s="4" t="inlineStr">
        <is>
          <t>SWIFB13-C17</t>
        </is>
      </c>
      <c r="B143" s="34" t="n">
        <v>0.09</v>
      </c>
      <c r="C143" s="4" t="inlineStr">
        <is>
          <t>ESTIMATE - catalogue gives dimensions only (p.68-71)</t>
        </is>
      </c>
    </row>
    <row r="144">
      <c r="A144" s="4" t="inlineStr">
        <is>
          <t>SWIFB13-C17-SP</t>
        </is>
      </c>
      <c r="B144" s="34" t="n">
        <v>0.13</v>
      </c>
      <c r="C144" s="4" t="inlineStr">
        <is>
          <t>ESTIMATE - catalogue gives dimensions only (p.68-71)</t>
        </is>
      </c>
    </row>
    <row r="145">
      <c r="A145" s="4" t="inlineStr">
        <is>
          <t>SWIFB13-C20</t>
        </is>
      </c>
      <c r="B145" s="34" t="n">
        <v>0.09</v>
      </c>
      <c r="C145" s="4" t="inlineStr">
        <is>
          <t>ESTIMATE - catalogue gives dimensions only (p.68-71)</t>
        </is>
      </c>
    </row>
    <row r="146">
      <c r="A146" s="4" t="inlineStr">
        <is>
          <t>SWIFB13-C20-SP</t>
        </is>
      </c>
      <c r="B146" s="34" t="n">
        <v>0.13</v>
      </c>
      <c r="C146" s="4" t="inlineStr">
        <is>
          <t>ESTIMATE - catalogue gives dimensions only (p.68-71)</t>
        </is>
      </c>
    </row>
    <row r="147">
      <c r="A147" s="4" t="inlineStr">
        <is>
          <t>SWIFB16-C21</t>
        </is>
      </c>
      <c r="B147" s="34" t="n">
        <v>0.1</v>
      </c>
      <c r="C147" s="4" t="inlineStr">
        <is>
          <t>ESTIMATE - catalogue gives dimensions only (p.68-71)</t>
        </is>
      </c>
    </row>
    <row r="148">
      <c r="A148" s="4" t="inlineStr">
        <is>
          <t>SWIFB16-C21-SP</t>
        </is>
      </c>
      <c r="B148" s="34" t="n">
        <v>0.14</v>
      </c>
      <c r="C148" s="4" t="inlineStr">
        <is>
          <t>ESTIMATE - catalogue gives dimensions only (p.68-71)</t>
        </is>
      </c>
    </row>
    <row r="149">
      <c r="A149" s="4" t="inlineStr">
        <is>
          <t>SWIFB19-C24</t>
        </is>
      </c>
      <c r="B149" s="34" t="n">
        <v>0.12</v>
      </c>
      <c r="C149" s="4" t="inlineStr">
        <is>
          <t>ESTIMATE - catalogue gives dimensions only (p.68-71)</t>
        </is>
      </c>
    </row>
    <row r="150">
      <c r="A150" s="4" t="inlineStr">
        <is>
          <t>SWIFB19-C24-34</t>
        </is>
      </c>
      <c r="B150" s="34" t="n">
        <v>0.13</v>
      </c>
      <c r="C150" s="4" t="inlineStr">
        <is>
          <t>ESTIMATE - catalogue gives dimensions only (p.68-71)</t>
        </is>
      </c>
    </row>
    <row r="151">
      <c r="A151" s="4" t="inlineStr">
        <is>
          <t>SWIFB19-C24-34S</t>
        </is>
      </c>
      <c r="B151" s="34" t="n">
        <v>0.17</v>
      </c>
      <c r="C151" s="4" t="inlineStr">
        <is>
          <t>ESTIMATE - catalogue gives dimensions only (p.68-71)</t>
        </is>
      </c>
    </row>
    <row r="152">
      <c r="A152" s="4" t="inlineStr">
        <is>
          <t>SWIFB19-C24-SP</t>
        </is>
      </c>
      <c r="B152" s="34" t="n">
        <v>0.16</v>
      </c>
      <c r="C152" s="4" t="inlineStr">
        <is>
          <t>ESTIMATE - catalogue gives dimensions only (p.68-71)</t>
        </is>
      </c>
    </row>
    <row r="153">
      <c r="A153" s="4" t="inlineStr">
        <is>
          <t>MESS013</t>
        </is>
      </c>
      <c r="B153" s="34" t="n">
        <v>0.03</v>
      </c>
      <c r="C153" s="4" t="inlineStr">
        <is>
          <t>ESTIMATE - catalogue gives dimensions only (p.68-71)</t>
        </is>
      </c>
    </row>
    <row r="154">
      <c r="A154" s="4" t="inlineStr">
        <is>
          <t>MESS019</t>
        </is>
      </c>
      <c r="B154" s="34" t="n">
        <v>0.04</v>
      </c>
      <c r="C154" s="4" t="inlineStr">
        <is>
          <t>ESTIMATE - catalogue gives dimensions only (p.68-71)</t>
        </is>
      </c>
    </row>
    <row r="155">
      <c r="A155" s="4" t="inlineStr">
        <is>
          <t>MESS025</t>
        </is>
      </c>
      <c r="B155" s="34" t="n">
        <v>0.06</v>
      </c>
      <c r="C155" s="4" t="inlineStr">
        <is>
          <t>ESTIMATE - catalogue gives dimensions only (p.68-71)</t>
        </is>
      </c>
    </row>
    <row r="156">
      <c r="A156" s="4" t="inlineStr">
        <is>
          <t>MESC013</t>
        </is>
      </c>
      <c r="B156" s="34" t="n">
        <v>0.035</v>
      </c>
      <c r="C156" s="4" t="inlineStr">
        <is>
          <t>ESTIMATE - catalogue gives dimensions only (p.68-71)</t>
        </is>
      </c>
    </row>
    <row r="157">
      <c r="A157" s="4" t="inlineStr">
        <is>
          <t>MESC016</t>
        </is>
      </c>
      <c r="B157" s="34" t="n">
        <v>0.04</v>
      </c>
      <c r="C157" s="4" t="inlineStr">
        <is>
          <t>ESTIMATE - catalogue gives dimensions only (p.68-71)</t>
        </is>
      </c>
    </row>
    <row r="158">
      <c r="A158" s="4" t="inlineStr">
        <is>
          <t>MESC019</t>
        </is>
      </c>
      <c r="B158" s="34" t="n">
        <v>0.045</v>
      </c>
      <c r="C158" s="4" t="inlineStr">
        <is>
          <t>ESTIMATE - catalogue gives dimensions only (p.68-71)</t>
        </is>
      </c>
    </row>
    <row r="159">
      <c r="A159" s="4" t="inlineStr">
        <is>
          <t>RVST013-C17</t>
        </is>
      </c>
      <c r="B159" s="34" t="n">
        <v>0.04</v>
      </c>
      <c r="C159" s="4" t="inlineStr">
        <is>
          <t>ESTIMATE - catalogue gives dimensions only (p.68-71)</t>
        </is>
      </c>
    </row>
    <row r="160">
      <c r="A160" s="4" t="inlineStr">
        <is>
          <t>RVST013-C17-SP</t>
        </is>
      </c>
      <c r="B160" s="34" t="n">
        <v>0.08</v>
      </c>
      <c r="C160" s="4" t="inlineStr">
        <is>
          <t>ESTIMATE - catalogue gives dimensions only (p.68-71)</t>
        </is>
      </c>
    </row>
    <row r="161">
      <c r="A161" s="4" t="inlineStr">
        <is>
          <t>RVST013-C20</t>
        </is>
      </c>
      <c r="B161" s="34" t="n">
        <v>0.04</v>
      </c>
      <c r="C161" s="4" t="inlineStr">
        <is>
          <t>ESTIMATE - catalogue gives dimensions only (p.68-71)</t>
        </is>
      </c>
    </row>
    <row r="162">
      <c r="A162" s="4" t="inlineStr">
        <is>
          <t>RVST013-C20-12F</t>
        </is>
      </c>
      <c r="B162" s="34" t="n">
        <v>0.05</v>
      </c>
      <c r="C162" s="4" t="inlineStr">
        <is>
          <t>ESTIMATE - catalogue gives dimensions only (p.68-71)</t>
        </is>
      </c>
    </row>
    <row r="163">
      <c r="A163" s="4" t="inlineStr">
        <is>
          <t>RVST013-C20-34F</t>
        </is>
      </c>
      <c r="B163" s="34" t="n">
        <v>0.06</v>
      </c>
      <c r="C163" s="4" t="inlineStr">
        <is>
          <t>ESTIMATE - catalogue gives dimensions only (p.68-71)</t>
        </is>
      </c>
    </row>
    <row r="164">
      <c r="A164" s="4" t="inlineStr">
        <is>
          <t>RVST013-C20-SP</t>
        </is>
      </c>
      <c r="B164" s="34" t="n">
        <v>0.08</v>
      </c>
      <c r="C164" s="4" t="inlineStr">
        <is>
          <t>ESTIMATE - catalogue gives dimensions only (p.68-71)</t>
        </is>
      </c>
    </row>
    <row r="165">
      <c r="A165" s="4" t="inlineStr">
        <is>
          <t>RVST016-C21</t>
        </is>
      </c>
      <c r="B165" s="34" t="n">
        <v>0.05</v>
      </c>
      <c r="C165" s="4" t="inlineStr">
        <is>
          <t>ESTIMATE - catalogue gives dimensions only (p.68-71)</t>
        </is>
      </c>
    </row>
    <row r="166">
      <c r="A166" s="4" t="inlineStr">
        <is>
          <t>RVST016-C21-SP</t>
        </is>
      </c>
      <c r="B166" s="34" t="n">
        <v>0.09</v>
      </c>
      <c r="C166" s="4" t="inlineStr">
        <is>
          <t>ESTIMATE - catalogue gives dimensions only (p.68-71)</t>
        </is>
      </c>
    </row>
    <row r="167">
      <c r="A167" s="4" t="inlineStr">
        <is>
          <t>RVST019-C24</t>
        </is>
      </c>
      <c r="B167" s="34" t="n">
        <v>0.06</v>
      </c>
      <c r="C167" s="4" t="inlineStr">
        <is>
          <t>ESTIMATE - catalogue gives dimensions only (p.68-71)</t>
        </is>
      </c>
    </row>
    <row r="168">
      <c r="A168" s="4" t="inlineStr">
        <is>
          <t>RVST019-C24-SP</t>
        </is>
      </c>
      <c r="B168" s="34" t="n">
        <v>0.1</v>
      </c>
      <c r="C168" s="4" t="inlineStr">
        <is>
          <t>ESTIMATE - catalogue gives dimensions only (p.68-71)</t>
        </is>
      </c>
    </row>
    <row r="169">
      <c r="A169" s="4" t="inlineStr">
        <is>
          <t>RVST025</t>
        </is>
      </c>
      <c r="B169" s="34" t="n">
        <v>0.06</v>
      </c>
      <c r="C169" s="4" t="inlineStr">
        <is>
          <t>ESTIMATE - catalogue gives dimensions only (p.68-71)</t>
        </is>
      </c>
    </row>
    <row r="170">
      <c r="A170" s="4" t="inlineStr">
        <is>
          <t>RVSW13C17-12C</t>
        </is>
      </c>
      <c r="B170" s="34" t="n">
        <v>0.06</v>
      </c>
      <c r="C170" s="4" t="inlineStr">
        <is>
          <t>ESTIMATE - catalogue gives dimensions only (p.68-71)</t>
        </is>
      </c>
    </row>
    <row r="171">
      <c r="A171" s="4" t="inlineStr">
        <is>
          <t>RVSW13C17-34F</t>
        </is>
      </c>
      <c r="B171" s="34" t="n">
        <v>0.07000000000000001</v>
      </c>
      <c r="C171" s="4" t="inlineStr">
        <is>
          <t>ESTIMATE - catalogue gives dimensions only (p.68-71)</t>
        </is>
      </c>
    </row>
    <row r="172">
      <c r="A172" s="4" t="inlineStr">
        <is>
          <t>RVSW13C20-12C</t>
        </is>
      </c>
      <c r="B172" s="34" t="n">
        <v>0.06</v>
      </c>
      <c r="C172" s="4" t="inlineStr">
        <is>
          <t>ESTIMATE - catalogue gives dimensions only (p.68-71)</t>
        </is>
      </c>
    </row>
    <row r="173">
      <c r="A173" s="4" t="inlineStr">
        <is>
          <t>RVSW13C20-12F</t>
        </is>
      </c>
      <c r="B173" s="34" t="n">
        <v>0.06</v>
      </c>
      <c r="C173" s="4" t="inlineStr">
        <is>
          <t>ESTIMATE - catalogue gives dimensions only (p.68-71)</t>
        </is>
      </c>
    </row>
    <row r="174">
      <c r="A174" s="4" t="inlineStr">
        <is>
          <t>RVSW13C20-12FS</t>
        </is>
      </c>
      <c r="B174" s="34" t="n">
        <v>0.1</v>
      </c>
      <c r="C174" s="4" t="inlineStr">
        <is>
          <t>ESTIMATE - catalogue gives dimensions only (p.68-71)</t>
        </is>
      </c>
    </row>
    <row r="175">
      <c r="A175" s="4" t="inlineStr">
        <is>
          <t>RVSW13C20-34F</t>
        </is>
      </c>
      <c r="B175" s="34" t="n">
        <v>0.07000000000000001</v>
      </c>
      <c r="C175" s="4" t="inlineStr">
        <is>
          <t>ESTIMATE - catalogue gives dimensions only (p.68-71)</t>
        </is>
      </c>
    </row>
    <row r="176">
      <c r="A176" s="4" t="inlineStr">
        <is>
          <t>RVSW16C21-12C</t>
        </is>
      </c>
      <c r="B176" s="34" t="n">
        <v>0.07000000000000001</v>
      </c>
      <c r="C176" s="4" t="inlineStr">
        <is>
          <t>ESTIMATE - catalogue gives dimensions only (p.68-71)</t>
        </is>
      </c>
    </row>
    <row r="177">
      <c r="A177" s="4" t="inlineStr">
        <is>
          <t>RVSW16C21-12CS</t>
        </is>
      </c>
      <c r="B177" s="34" t="n">
        <v>0.11</v>
      </c>
      <c r="C177" s="4" t="inlineStr">
        <is>
          <t>ESTIMATE - catalogue gives dimensions only (p.68-71)</t>
        </is>
      </c>
    </row>
    <row r="178">
      <c r="A178" s="4" t="inlineStr">
        <is>
          <t>RVSW16C21-12F</t>
        </is>
      </c>
      <c r="B178" s="34" t="n">
        <v>0.07000000000000001</v>
      </c>
      <c r="C178" s="4" t="inlineStr">
        <is>
          <t>ESTIMATE - catalogue gives dimensions only (p.68-71)</t>
        </is>
      </c>
    </row>
    <row r="179">
      <c r="A179" s="4" t="inlineStr">
        <is>
          <t>RVSW16C21-34F</t>
        </is>
      </c>
      <c r="B179" s="34" t="n">
        <v>0.08</v>
      </c>
      <c r="C179" s="4" t="inlineStr">
        <is>
          <t>ESTIMATE - catalogue gives dimensions only (p.68-71)</t>
        </is>
      </c>
    </row>
    <row r="180">
      <c r="A180" s="4" t="inlineStr">
        <is>
          <t>RVSW19C24-34C</t>
        </is>
      </c>
      <c r="B180" s="34" t="n">
        <v>0.09</v>
      </c>
      <c r="C180" s="4" t="inlineStr">
        <is>
          <t>ESTIMATE - catalogue gives dimensions only (p.68-71)</t>
        </is>
      </c>
    </row>
    <row r="181">
      <c r="A181" s="4" t="inlineStr">
        <is>
          <t>RVSW19C24-34F</t>
        </is>
      </c>
      <c r="B181" s="34" t="n">
        <v>0.09</v>
      </c>
      <c r="C181" s="4" t="inlineStr">
        <is>
          <t>ESTIMATE - catalogue gives dimensions only (p.68-71)</t>
        </is>
      </c>
    </row>
    <row r="182">
      <c r="A182" s="4" t="inlineStr">
        <is>
          <t>RVSW19C24-1C</t>
        </is>
      </c>
      <c r="B182" s="34" t="n">
        <v>0.11</v>
      </c>
      <c r="C182" s="4" t="inlineStr">
        <is>
          <t>ESTIMATE - catalogue gives dimensions only (p.68-71)</t>
        </is>
      </c>
    </row>
    <row r="183">
      <c r="A183" s="4" t="inlineStr">
        <is>
          <t>RVSW19C24-1F</t>
        </is>
      </c>
      <c r="B183" s="34" t="n">
        <v>0.11</v>
      </c>
      <c r="C183" s="4" t="inlineStr">
        <is>
          <t>ESTIMATE - catalogue gives dimensions only (p.68-71)</t>
        </is>
      </c>
    </row>
    <row r="184">
      <c r="A184" s="4" t="inlineStr">
        <is>
          <t>RVSW25C36-1C</t>
        </is>
      </c>
      <c r="B184" s="34" t="n">
        <v>0.13</v>
      </c>
      <c r="C184" s="4" t="inlineStr">
        <is>
          <t>ESTIMATE - catalogue gives dimensions only (p.68-71)</t>
        </is>
      </c>
    </row>
    <row r="186">
      <c r="A186" s="3" t="inlineStr">
        <is>
          <t>3. Part-number / data queries</t>
        </is>
      </c>
    </row>
    <row r="187">
      <c r="A187" s="4" t="inlineStr">
        <is>
          <t>BRFTP03-B-PRIN</t>
        </is>
      </c>
      <c r="C187" s="4" t="inlineStr">
        <is>
          <t>Pricelist code BRFTP03 vs catalogue/conversion BRFTP13 - confirm with AKBO.</t>
        </is>
      </c>
    </row>
    <row r="188">
      <c r="A188" s="4" t="inlineStr">
        <is>
          <t>AKR001-B</t>
        </is>
      </c>
      <c r="C188" s="4" t="inlineStr">
        <is>
          <t>Catalogue code is AKRS001-B - confirm with AKBO.</t>
        </is>
      </c>
    </row>
    <row r="189">
      <c r="A189" s="4" t="inlineStr">
        <is>
          <t>AKMBP01-BL</t>
        </is>
      </c>
      <c r="C189" s="4" t="inlineStr">
        <is>
          <t>Catalogue only lists AKMBP01-B-SWM14-3/4 (with swivel) - confirm model.</t>
        </is>
      </c>
    </row>
    <row r="190">
      <c r="A190" s="4" t="inlineStr">
        <is>
          <t>AKMNP01-B-SW12</t>
        </is>
      </c>
      <c r="C190" s="4" t="inlineStr">
        <is>
          <t>Conversion table: Page 2 technical-data table header spells this "AKMP01-B-SW12" (missing N) - likely a table typo, confirm before use</t>
        </is>
      </c>
    </row>
    <row r="191">
      <c r="A191" s="4" t="inlineStr">
        <is>
          <t>AKMNP01-B-SW34</t>
        </is>
      </c>
      <c r="C191" s="4" t="inlineStr">
        <is>
          <t>Conversion table: Page 2 technical-data table header spells this "AKMP01-B-SW34" (missing N) - likely a table typo, confirm before use</t>
        </is>
      </c>
    </row>
    <row r="192">
      <c r="A192" s="4" t="inlineStr">
        <is>
          <t>AKRB001-BL</t>
        </is>
      </c>
      <c r="C192" s="4" t="inlineStr">
        <is>
          <t>Conversion table: Page 12 cross-references this as the high-flow AISI316 variant ("full spec page 16"), but page 16 (High-flow cleaning guns) only lists brass "AKMB*" numbers - no matching AKRB* found there. Confirm actual model number with AKBO</t>
        </is>
      </c>
    </row>
    <row r="193">
      <c r="A193" s="4" t="inlineStr">
        <is>
          <t>AKRHP01-R</t>
        </is>
      </c>
      <c r="C193" s="4" t="inlineStr">
        <is>
          <t>Conversion table: Body text calls the base model "AKRHP01-R" but the technical-data table heads its column "AKRHP02-R" - confirm which is correct with AKBO</t>
        </is>
      </c>
    </row>
    <row r="194">
      <c r="A194" s="4" t="inlineStr">
        <is>
          <t>AKRHP02-R-L40</t>
        </is>
      </c>
      <c r="C194" s="4" t="inlineStr">
        <is>
          <t>Conversion table: Table heading drops the "-R-" and reads "AKRHP02-L40" - confirm exact number with AKBO</t>
        </is>
      </c>
    </row>
    <row r="195">
      <c r="A195" s="4" t="inlineStr">
        <is>
          <t>BABTLF1-BL</t>
        </is>
      </c>
      <c r="C195" s="4" t="inlineStr">
        <is>
          <t>Conversion table: Max-temp table cell shows "(231F)" matching a 95C row, but this model is rated 50C (its sibling BABTLF1-B-V, same 50C rating, correctly shows ~122F) - likely a copy-paste error in AKBO's table; confirm actual max temp with AKBO</t>
        </is>
      </c>
    </row>
    <row r="196">
      <c r="A196" s="4" t="inlineStr">
        <is>
          <t>AKMSHHL1-BL</t>
        </is>
      </c>
      <c r="C196" s="4" t="inlineStr">
        <is>
          <t>Conversion table: Technical-data table only lists dimensions/weight for the with-handle assemblies (AKMSHL1-B/AKRSHL1-B) - head-only weight not separately tabulated on this page</t>
        </is>
      </c>
    </row>
    <row r="197">
      <c r="A197" s="4" t="inlineStr">
        <is>
          <t>AKRSHHL1-BL</t>
        </is>
      </c>
      <c r="C197" s="4" t="inlineStr">
        <is>
          <t>Conversion table: Technical-data table only lists dimensions/weight for the with-handle assemblies - head-only weight not separately tabulated on this page</t>
        </is>
      </c>
    </row>
    <row r="198">
      <c r="A198" s="4" t="inlineStr">
        <is>
          <t>AKRSHW3-W</t>
        </is>
      </c>
      <c r="C198" s="4" t="inlineStr">
        <is>
          <t>Conversion table: Part number breaks the "03" pattern of its blue/red siblings (AKRSH03-B/R) - consistently printed as AKRSHW3-W in both body text and image caption, so likely intentional, but worth confirming with AKBO</t>
        </is>
      </c>
    </row>
    <row r="199">
      <c r="A199" s="4" t="inlineStr">
        <is>
          <t>AGIL572 / AKAWLU1-B</t>
        </is>
      </c>
      <c r="C199" s="4" t="inlineStr">
        <is>
          <t>AKBO show only one price plus a pack-qty note (48 pcs EUR 9.87 / 20 pcs EUR 66.81) - kept as note, not priced.</t>
        </is>
      </c>
    </row>
    <row r="200">
      <c r="A200" s="4" t="inlineStr">
        <is>
          <t>Heavy duty spray guns</t>
        </is>
      </c>
      <c r="C200" s="4" t="inlineStr">
        <is>
          <t>AKBO give no &gt;=50 pcs price for most guns - left blank.</t>
        </is>
      </c>
    </row>
  </sheetData>
  <conditionalFormatting sqref="C5:C95">
    <cfRule type="expression" priority="1" dxfId="1">
      <formula>$C5="NOT ASSIGNED"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2026-09-30T07:25:31Z</dcterms:created>
  <dcterms:modified xsi:type="dcterms:W3CDTF">2026-09-30T07:25:31Z</dcterms:modified>
</cp:coreProperties>
</file>