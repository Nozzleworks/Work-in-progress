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list" sheetId="1" state="visible" r:id="rId1"/>
    <sheet name="Conversion" sheetId="2" state="visible" r:id="rId2"/>
    <sheet name="Flags" sheetId="3" state="visible" r:id="rId3"/>
  </sheets>
  <definedNames>
    <definedName name="_xlnm.Print_Titles" localSheetId="0">'Pricelist'!$13:$13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.00"/>
    <numFmt numFmtId="166" formatCode="0.0%"/>
    <numFmt numFmtId="167" formatCode="€#,##0.00;(€#,##0.00);&quot;-&quot;"/>
    <numFmt numFmtId="168" formatCode="$#,##0.00;($#,##0.00)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i val="1"/>
      <color rgb="00666666"/>
      <sz val="8"/>
    </font>
    <font>
      <name val="Arial"/>
      <i val="1"/>
      <sz val="8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666666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A4A4A"/>
      </patternFill>
    </fill>
    <fill>
      <patternFill patternType="solid">
        <fgColor rgb="00666666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0" fontId="6" fillId="0" borderId="0" pivotButton="0" quotePrefix="0" xfId="0"/>
    <xf numFmtId="165" fontId="5" fillId="2" borderId="1" pivotButton="0" quotePrefix="0" xfId="0"/>
    <xf numFmtId="166" fontId="5" fillId="2" borderId="1" pivotButton="0" quotePrefix="0" xfId="0"/>
    <xf numFmtId="9" fontId="5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3" borderId="0" pivotButton="0" quotePrefix="0" xfId="0"/>
    <xf numFmtId="0" fontId="0" fillId="3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8" fillId="4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5" fillId="0" borderId="1" pivotButton="0" quotePrefix="0" xfId="0"/>
    <xf numFmtId="0" fontId="10" fillId="0" borderId="1" applyAlignment="1" pivotButton="0" quotePrefix="0" xfId="0">
      <alignment vertical="top" wrapText="1"/>
    </xf>
    <xf numFmtId="167" fontId="5" fillId="0" borderId="1" pivotButton="0" quotePrefix="0" xfId="0"/>
    <xf numFmtId="0" fontId="0" fillId="0" borderId="1" pivotButton="0" quotePrefix="0" xfId="0"/>
    <xf numFmtId="168" fontId="4" fillId="0" borderId="1" pivotButton="0" quotePrefix="0" xfId="0"/>
    <xf numFmtId="168" fontId="3" fillId="0" borderId="1" pivotButton="0" quotePrefix="0" xfId="0"/>
    <xf numFmtId="0" fontId="11" fillId="0" borderId="1" applyAlignment="1" pivotButton="0" quotePrefix="0" xfId="0">
      <alignment vertical="top" wrapText="1"/>
    </xf>
    <xf numFmtId="164" fontId="5" fillId="5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8" fillId="3" borderId="0" pivotButton="0" quotePrefix="0" xfId="0"/>
    <xf numFmtId="0" fontId="4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  <sz val="9"/>
      </font>
      <fill>
        <patternFill patternType="solid">
          <fgColor rgb="00F8CBAD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0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50" customWidth="1" min="3" max="3"/>
    <col width="55" customWidth="1" min="4" max="4"/>
    <col width="9" customWidth="1" min="5" max="5"/>
    <col width="3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width="12" customWidth="1" min="14" max="14"/>
    <col width="12" customWidth="1" min="15" max="15"/>
    <col width="48" customWidth="1" min="16" max="16"/>
  </cols>
  <sheetData>
    <row r="1">
      <c r="A1" s="1" t="inlineStr">
        <is>
          <t>NOZZLEWORKS PRICELIST - AKBO / ARBO WASHDOWN GUNS &amp; FITTINGS</t>
        </is>
      </c>
    </row>
    <row r="2">
      <c r="A2" s="2" t="inlineStr">
        <is>
          <t>Built from AKBO price list "PRICE LIST, VALID FROM 15-08-2026". Item order and quantity breaks follow AKBO's list. Prices NZD, GST exclusive.</t>
        </is>
      </c>
    </row>
    <row r="4">
      <c r="A4" s="3" t="inlineStr">
        <is>
          <t>INPUTS (edit yellow cells)</t>
        </is>
      </c>
    </row>
    <row r="5">
      <c r="A5" s="4" t="inlineStr">
        <is>
          <t>Exchange rate (EUR per 1 NZD)</t>
        </is>
      </c>
      <c r="C5" s="5" t="n">
        <v>0.46</v>
      </c>
      <c r="D5" s="6" t="inlineStr">
        <is>
          <t>Per Andrew 28-Sep-2026 - to be reviewed. NZD cost = EUR / rate.</t>
        </is>
      </c>
      <c r="M5" s="3" t="inlineStr">
        <is>
          <t>Items listed</t>
        </is>
      </c>
      <c r="N5" s="4">
        <f>COUNT(G14:G240)</f>
        <v/>
      </c>
    </row>
    <row r="6">
      <c r="A6" s="4" t="inlineStr">
        <is>
          <t>Freight rate (NZD per kg)</t>
        </is>
      </c>
      <c r="C6" s="7" t="n">
        <v>30</v>
      </c>
      <c r="D6" s="6" t="inlineStr">
        <is>
          <t>Per Andrew 28-Sep-2026 - placeholder, to be updated.</t>
        </is>
      </c>
      <c r="M6" s="3" t="inlineStr">
        <is>
          <t>No NW part no.</t>
        </is>
      </c>
      <c r="N6" s="4">
        <f>COUNTIF(B14:B240,"NOT ASSIGNED")</f>
        <v/>
      </c>
    </row>
    <row r="7">
      <c r="A7" s="4" t="inlineStr">
        <is>
          <t>Volumetric weight factor (% on net weight)</t>
        </is>
      </c>
      <c r="C7" s="8" t="n">
        <v>0.25</v>
      </c>
      <c r="D7" s="6" t="inlineStr">
        <is>
          <t>Per Andrew 30-Sep-2026 - freight kg = net weight x (1 + factor).</t>
        </is>
      </c>
      <c r="M7" s="3" t="inlineStr">
        <is>
          <t>Estimated weights</t>
        </is>
      </c>
      <c r="N7" s="4">
        <f>COUNTIF(F14:F240,"ESTIMATE*")</f>
        <v/>
      </c>
    </row>
    <row r="8">
      <c r="A8" s="4" t="inlineStr">
        <is>
          <t>Tax / duty allowance (% of product cost)</t>
        </is>
      </c>
      <c r="C8" s="8" t="n">
        <v>0.01</v>
      </c>
      <c r="D8" s="6" t="inlineStr">
        <is>
          <t>Per Andrew 28-Sep-2026 - 1% on NZD product cost.</t>
        </is>
      </c>
    </row>
    <row r="9">
      <c r="A9" s="4" t="inlineStr">
        <is>
          <t>List price markup (% on landed cost)</t>
        </is>
      </c>
      <c r="C9" s="9" t="n">
        <v>3.5</v>
      </c>
      <c r="D9" s="6" t="inlineStr">
        <is>
          <t>Per Andrew 30-Sep-2026 - 350% default, to be reviewed. List = landed x (1 + markup).</t>
        </is>
      </c>
    </row>
    <row r="10">
      <c r="A10" s="10" t="inlineStr">
        <is>
          <t>Landed cost / pc = EUR price / FX x (1 + duty) + net weight kg x (1 + volumetric factor) x freight rate.   List price / pc = landed cost x (1 + markup %).</t>
        </is>
      </c>
    </row>
    <row r="11">
      <c r="A11" s="10" t="inlineStr">
        <is>
          <t>Legend:  red Nozzleworks Part No = no NW part number assigned yet   |   amber weight = ESTIMATE, not printed in AKBO 2026 catalogue   |   blank price = AKBO gives no price at that break</t>
        </is>
      </c>
    </row>
    <row r="13" ht="30" customHeight="1">
      <c r="A13" s="11" t="inlineStr">
        <is>
          <t>AKBO Product code</t>
        </is>
      </c>
      <c r="B13" s="11" t="inlineStr">
        <is>
          <t>Nozzleworks Part No</t>
        </is>
      </c>
      <c r="C13" s="11" t="inlineStr">
        <is>
          <t>AKBO description</t>
        </is>
      </c>
      <c r="D13" s="11" t="inlineStr">
        <is>
          <t>Proposed NW description</t>
        </is>
      </c>
      <c r="E13" s="11" t="inlineStr">
        <is>
          <t>Net weight (kg)</t>
        </is>
      </c>
      <c r="F13" s="11" t="inlineStr">
        <is>
          <t>Weight source</t>
        </is>
      </c>
      <c r="G13" s="11" t="inlineStr">
        <is>
          <t>Supplier price EUR / pc</t>
        </is>
      </c>
      <c r="H13" s="12" t="n"/>
      <c r="I13" s="13" t="n"/>
      <c r="J13" s="11" t="inlineStr">
        <is>
          <t>Landed cost NZD / pc</t>
        </is>
      </c>
      <c r="K13" s="12" t="n"/>
      <c r="L13" s="13" t="n"/>
      <c r="M13" s="11" t="inlineStr">
        <is>
          <t>List price NZD / pc (ex GST)</t>
        </is>
      </c>
      <c r="N13" s="12" t="n"/>
      <c r="O13" s="13" t="n"/>
      <c r="P13" s="11" t="inlineStr">
        <is>
          <t>Flags / notes</t>
        </is>
      </c>
    </row>
    <row r="14"/>
    <row r="15">
      <c r="A15" s="14" t="inlineStr">
        <is>
          <t>Heavy duty spray guns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</row>
    <row r="17">
      <c r="A17" s="16" t="inlineStr">
        <is>
          <t>Qty break</t>
        </is>
      </c>
      <c r="B17" s="17" t="n"/>
      <c r="C17" s="17" t="n"/>
      <c r="D17" s="17" t="n"/>
      <c r="E17" s="17" t="n"/>
      <c r="F17" s="17" t="n"/>
      <c r="G17" s="18" t="inlineStr">
        <is>
          <t>&lt; 20 pcs</t>
        </is>
      </c>
      <c r="H17" s="18" t="inlineStr">
        <is>
          <t>≥ 20 pcs</t>
        </is>
      </c>
      <c r="I17" s="18" t="inlineStr">
        <is>
          <t>≥ 50 pcs</t>
        </is>
      </c>
      <c r="J17" s="18" t="inlineStr">
        <is>
          <t>&lt; 20 pcs</t>
        </is>
      </c>
      <c r="K17" s="18" t="inlineStr">
        <is>
          <t>≥ 20 pcs</t>
        </is>
      </c>
      <c r="L17" s="18" t="inlineStr">
        <is>
          <t>≥ 50 pcs</t>
        </is>
      </c>
      <c r="M17" s="18" t="inlineStr">
        <is>
          <t>&lt; 20 pcs</t>
        </is>
      </c>
      <c r="N17" s="18" t="inlineStr">
        <is>
          <t>≥ 20 pcs</t>
        </is>
      </c>
      <c r="O17" s="18" t="inlineStr">
        <is>
          <t>≥ 50 pcs</t>
        </is>
      </c>
      <c r="P17" s="17" t="n"/>
    </row>
    <row r="18">
      <c r="A18" s="19" t="inlineStr">
        <is>
          <t>AKNN001-B</t>
        </is>
      </c>
      <c r="B18" s="20">
        <f>IFERROR(INDEX(Conversion!$C$2:$C$500,MATCH($A18,Conversion!$B$2:$B$500,0)),"NOT ASSIGNED")</f>
        <v/>
      </c>
      <c r="C18" s="21" t="inlineStr">
        <is>
          <t>Water gun with glass reinforced PA66 blue body. Stainless shaft with EPDM and VITON O-ring</t>
        </is>
      </c>
      <c r="D18" s="22" t="inlineStr">
        <is>
          <t>Classic Lite WD gun, w/o trigger guard, blue, PA66 plastic</t>
        </is>
      </c>
      <c r="E18" s="23" t="n">
        <v>0.48</v>
      </c>
      <c r="F18" s="24" t="inlineStr">
        <is>
          <t>Cat p.16/17</t>
        </is>
      </c>
      <c r="G18" s="25" t="n">
        <v>29.74</v>
      </c>
      <c r="H18" s="25" t="n">
        <v>26.43</v>
      </c>
      <c r="I18" s="26" t="n"/>
      <c r="J18" s="27">
        <f>IF(G18="","",G18/$C$5*(1+$C$8)+$E18*(1+$C$7)*$C$6)</f>
        <v/>
      </c>
      <c r="K18" s="27">
        <f>IF(H18="","",H18/$C$5*(1+$C$8)+$E18*(1+$C$7)*$C$6)</f>
        <v/>
      </c>
      <c r="L18" s="27">
        <f>IF(I18="","",I18/$C$5*(1+$C$8)+$E18*(1+$C$7)*$C$6)</f>
        <v/>
      </c>
      <c r="M18" s="28">
        <f>IF(J18="","",ROUND(J18*(1+$C$9),2))</f>
        <v/>
      </c>
      <c r="N18" s="28">
        <f>IF(K18="","",ROUND(K18*(1+$C$9),2))</f>
        <v/>
      </c>
      <c r="O18" s="28">
        <f>IF(L18="","",ROUND(L18*(1+$C$9),2))</f>
        <v/>
      </c>
      <c r="P18" s="29">
        <f>TRIM(IF($B18="NOT ASSIGNED","No NW part no. ","")&amp;IFERROR(IF(INDEX(Conversion!$J$2:$J$500,MATCH($A18,Conversion!$B$2:$B$500,0))="Needs review","Conversion table: needs review. ",""),"")&amp;IF(LEFT($F18,8)="ESTIMATE","Weight estimated. ","")&amp;"")</f>
        <v/>
      </c>
    </row>
    <row r="19">
      <c r="A19" s="19" t="inlineStr">
        <is>
          <t>BMFT001-B</t>
        </is>
      </c>
      <c r="B19" s="20">
        <f>IFERROR(INDEX(Conversion!$C$2:$C$500,MATCH($A19,Conversion!$B$2:$B$500,0)),"NOT ASSIGNED")</f>
        <v/>
      </c>
      <c r="C19" s="21" t="inlineStr">
        <is>
          <t>Blue Princess economic brass water gun, blue</t>
        </is>
      </c>
      <c r="D19" s="22" t="inlineStr">
        <is>
          <t>Blue Princess WD gun, w/o trigger guard, blue, brass</t>
        </is>
      </c>
      <c r="E19" s="23" t="n">
        <v>0.463</v>
      </c>
      <c r="F19" s="24" t="inlineStr">
        <is>
          <t>Cat p.C (Blue Princess)</t>
        </is>
      </c>
      <c r="G19" s="25" t="n">
        <v>22.47399</v>
      </c>
      <c r="H19" s="25" t="n">
        <v>19.97688</v>
      </c>
      <c r="I19" s="26" t="n"/>
      <c r="J19" s="27">
        <f>IF(G19="","",G19/$C$5*(1+$C$8)+$E19*(1+$C$7)*$C$6)</f>
        <v/>
      </c>
      <c r="K19" s="27">
        <f>IF(H19="","",H19/$C$5*(1+$C$8)+$E19*(1+$C$7)*$C$6)</f>
        <v/>
      </c>
      <c r="L19" s="27">
        <f>IF(I19="","",I19/$C$5*(1+$C$8)+$E19*(1+$C$7)*$C$6)</f>
        <v/>
      </c>
      <c r="M19" s="28">
        <f>IF(J19="","",ROUND(J19*(1+$C$9),2))</f>
        <v/>
      </c>
      <c r="N19" s="28">
        <f>IF(K19="","",ROUND(K19*(1+$C$9),2))</f>
        <v/>
      </c>
      <c r="O19" s="28">
        <f>IF(L19="","",ROUND(L19*(1+$C$9),2))</f>
        <v/>
      </c>
      <c r="P19" s="29">
        <f>TRIM(IF($B19="NOT ASSIGNED","No NW part no. ","")&amp;IFERROR(IF(INDEX(Conversion!$J$2:$J$500,MATCH($A19,Conversion!$B$2:$B$500,0))="Needs review","Conversion table: needs review. ",""),"")&amp;IF(LEFT($F19,8)="ESTIMATE","Weight estimated. ","")&amp;"")</f>
        <v/>
      </c>
    </row>
    <row r="20">
      <c r="A20" s="19" t="inlineStr">
        <is>
          <t>BMFT001-B-PRIN</t>
        </is>
      </c>
      <c r="B20" s="20">
        <f>IFERROR(INDEX(Conversion!$C$2:$C$500,MATCH($A20,Conversion!$B$2:$B$500,0)),"NOT ASSIGNED")</f>
        <v/>
      </c>
      <c r="C20" s="21" t="inlineStr">
        <is>
          <t>Blue Princess economic brass water gun, blue with PRINCESS logo</t>
        </is>
      </c>
      <c r="D20" s="22" t="inlineStr">
        <is>
          <t>Blue Princess WD gun, w/o trigger guard, PRINCESS logo, blue, brass</t>
        </is>
      </c>
      <c r="E20" s="23" t="n">
        <v>0.463</v>
      </c>
      <c r="F20" s="24" t="inlineStr">
        <is>
          <t>Cat p.C - same gun as BMFT001-B, logo only</t>
        </is>
      </c>
      <c r="G20" s="25" t="n">
        <v>22.52052</v>
      </c>
      <c r="H20" s="25" t="n">
        <v>20.01824</v>
      </c>
      <c r="I20" s="26" t="n"/>
      <c r="J20" s="27">
        <f>IF(G20="","",G20/$C$5*(1+$C$8)+$E20*(1+$C$7)*$C$6)</f>
        <v/>
      </c>
      <c r="K20" s="27">
        <f>IF(H20="","",H20/$C$5*(1+$C$8)+$E20*(1+$C$7)*$C$6)</f>
        <v/>
      </c>
      <c r="L20" s="27">
        <f>IF(I20="","",I20/$C$5*(1+$C$8)+$E20*(1+$C$7)*$C$6)</f>
        <v/>
      </c>
      <c r="M20" s="28">
        <f>IF(J20="","",ROUND(J20*(1+$C$9),2))</f>
        <v/>
      </c>
      <c r="N20" s="28">
        <f>IF(K20="","",ROUND(K20*(1+$C$9),2))</f>
        <v/>
      </c>
      <c r="O20" s="28">
        <f>IF(L20="","",ROUND(L20*(1+$C$9),2))</f>
        <v/>
      </c>
      <c r="P20" s="29">
        <f>TRIM(IF($B20="NOT ASSIGNED","No NW part no. ","")&amp;IFERROR(IF(INDEX(Conversion!$J$2:$J$500,MATCH($A20,Conversion!$B$2:$B$500,0))="Needs review","Conversion table: needs review. ",""),"")&amp;IF(LEFT($F20,8)="ESTIMATE","Weight estimated. ","")&amp;"")</f>
        <v/>
      </c>
    </row>
    <row r="21">
      <c r="A21" s="19" t="inlineStr">
        <is>
          <t>BMFTP11-B-PRIN</t>
        </is>
      </c>
      <c r="B21" s="20">
        <f>IFERROR(INDEX(Conversion!$C$2:$C$500,MATCH($A21,Conversion!$B$2:$B$500,0)),"NOT ASSIGNED")</f>
        <v/>
      </c>
      <c r="C21" s="21" t="inlineStr">
        <is>
          <t>Princess economic brass water gun with trigger guard and trigger insulation, blue with PRINCESS logo</t>
        </is>
      </c>
      <c r="D21" s="22" t="inlineStr">
        <is>
          <t>Blue Princess WD gun, w/ trigger guard, PRINCESS logo, blue, brass</t>
        </is>
      </c>
      <c r="E21" s="23" t="n">
        <v>0.59</v>
      </c>
      <c r="F21" s="24" t="inlineStr">
        <is>
          <t>Cat p.C</t>
        </is>
      </c>
      <c r="G21" s="25" t="n">
        <v>30.38409</v>
      </c>
      <c r="H21" s="25" t="n">
        <v>27.00808</v>
      </c>
      <c r="I21" s="26" t="n"/>
      <c r="J21" s="27">
        <f>IF(G21="","",G21/$C$5*(1+$C$8)+$E21*(1+$C$7)*$C$6)</f>
        <v/>
      </c>
      <c r="K21" s="27">
        <f>IF(H21="","",H21/$C$5*(1+$C$8)+$E21*(1+$C$7)*$C$6)</f>
        <v/>
      </c>
      <c r="L21" s="27">
        <f>IF(I21="","",I21/$C$5*(1+$C$8)+$E21*(1+$C$7)*$C$6)</f>
        <v/>
      </c>
      <c r="M21" s="28">
        <f>IF(J21="","",ROUND(J21*(1+$C$9),2))</f>
        <v/>
      </c>
      <c r="N21" s="28">
        <f>IF(K21="","",ROUND(K21*(1+$C$9),2))</f>
        <v/>
      </c>
      <c r="O21" s="28">
        <f>IF(L21="","",ROUND(L21*(1+$C$9),2))</f>
        <v/>
      </c>
      <c r="P21" s="29">
        <f>TRIM(IF($B21="NOT ASSIGNED","No NW part no. ","")&amp;IFERROR(IF(INDEX(Conversion!$J$2:$J$500,MATCH($A21,Conversion!$B$2:$B$500,0))="Needs review","Conversion table: needs review. ",""),"")&amp;IF(LEFT($F21,8)="ESTIMATE","Weight estimated. ","")&amp;"")</f>
        <v/>
      </c>
    </row>
    <row r="22">
      <c r="A22" s="19" t="inlineStr">
        <is>
          <t>KLMN001-B</t>
        </is>
      </c>
      <c r="B22" s="20">
        <f>IFERROR(INDEX(Conversion!$C$2:$C$500,MATCH($A22,Conversion!$B$2:$B$500,0)),"NOT ASSIGNED")</f>
        <v/>
      </c>
      <c r="C22" s="21" t="inlineStr">
        <is>
          <t>Brass water gun, without trigger insulation, blue</t>
        </is>
      </c>
      <c r="D22" s="22" t="inlineStr">
        <is>
          <t>Classic WD gun, w/o trigger insulation, blue, brass</t>
        </is>
      </c>
      <c r="E22" s="23" t="n">
        <v>0.84</v>
      </c>
      <c r="F22" s="24" t="inlineStr">
        <is>
          <t>Cat p.9</t>
        </is>
      </c>
      <c r="G22" s="25" t="n">
        <v>28.14</v>
      </c>
      <c r="H22" s="25" t="n">
        <v>25.02</v>
      </c>
      <c r="I22" s="26" t="n"/>
      <c r="J22" s="27">
        <f>IF(G22="","",G22/$C$5*(1+$C$8)+$E22*(1+$C$7)*$C$6)</f>
        <v/>
      </c>
      <c r="K22" s="27">
        <f>IF(H22="","",H22/$C$5*(1+$C$8)+$E22*(1+$C$7)*$C$6)</f>
        <v/>
      </c>
      <c r="L22" s="27">
        <f>IF(I22="","",I22/$C$5*(1+$C$8)+$E22*(1+$C$7)*$C$6)</f>
        <v/>
      </c>
      <c r="M22" s="28">
        <f>IF(J22="","",ROUND(J22*(1+$C$9),2))</f>
        <v/>
      </c>
      <c r="N22" s="28">
        <f>IF(K22="","",ROUND(K22*(1+$C$9),2))</f>
        <v/>
      </c>
      <c r="O22" s="28">
        <f>IF(L22="","",ROUND(L22*(1+$C$9),2))</f>
        <v/>
      </c>
      <c r="P22" s="29">
        <f>TRIM(IF($B22="NOT ASSIGNED","No NW part no. ","")&amp;IFERROR(IF(INDEX(Conversion!$J$2:$J$500,MATCH($A22,Conversion!$B$2:$B$500,0))="Needs review","Conversion table: needs review. ",""),"")&amp;IF(LEFT($F22,8)="ESTIMATE","Weight estimated. ","")&amp;"")</f>
        <v/>
      </c>
    </row>
    <row r="23">
      <c r="A23" s="19" t="inlineStr">
        <is>
          <t>KLMN001-R</t>
        </is>
      </c>
      <c r="B23" s="20">
        <f>IFERROR(INDEX(Conversion!$C$2:$C$500,MATCH($A23,Conversion!$B$2:$B$500,0)),"NOT ASSIGNED")</f>
        <v/>
      </c>
      <c r="C23" s="21" t="inlineStr">
        <is>
          <t>Brass water gun without trigger insulation, red</t>
        </is>
      </c>
      <c r="D23" s="22" t="inlineStr">
        <is>
          <t>Classic WD gun, w/o trigger insulation, red, brass</t>
        </is>
      </c>
      <c r="E23" s="23" t="n">
        <v>0.84</v>
      </c>
      <c r="F23" s="24" t="inlineStr">
        <is>
          <t>Cat p.9</t>
        </is>
      </c>
      <c r="G23" s="25" t="n">
        <v>29.08</v>
      </c>
      <c r="H23" s="25" t="n">
        <v>25.85</v>
      </c>
      <c r="I23" s="26" t="n"/>
      <c r="J23" s="27">
        <f>IF(G23="","",G23/$C$5*(1+$C$8)+$E23*(1+$C$7)*$C$6)</f>
        <v/>
      </c>
      <c r="K23" s="27">
        <f>IF(H23="","",H23/$C$5*(1+$C$8)+$E23*(1+$C$7)*$C$6)</f>
        <v/>
      </c>
      <c r="L23" s="27">
        <f>IF(I23="","",I23/$C$5*(1+$C$8)+$E23*(1+$C$7)*$C$6)</f>
        <v/>
      </c>
      <c r="M23" s="28">
        <f>IF(J23="","",ROUND(J23*(1+$C$9),2))</f>
        <v/>
      </c>
      <c r="N23" s="28">
        <f>IF(K23="","",ROUND(K23*(1+$C$9),2))</f>
        <v/>
      </c>
      <c r="O23" s="28">
        <f>IF(L23="","",ROUND(L23*(1+$C$9),2))</f>
        <v/>
      </c>
      <c r="P23" s="29">
        <f>TRIM(IF($B23="NOT ASSIGNED","No NW part no. ","")&amp;IFERROR(IF(INDEX(Conversion!$J$2:$J$500,MATCH($A23,Conversion!$B$2:$B$500,0))="Needs review","Conversion table: needs review. ",""),"")&amp;IF(LEFT($F23,8)="ESTIMATE","Weight estimated. ","")&amp;"")</f>
        <v/>
      </c>
    </row>
    <row r="24">
      <c r="A24" s="19" t="inlineStr">
        <is>
          <t>KLMN001-G</t>
        </is>
      </c>
      <c r="B24" s="20">
        <f>IFERROR(INDEX(Conversion!$C$2:$C$500,MATCH($A24,Conversion!$B$2:$B$500,0)),"NOT ASSIGNED")</f>
        <v/>
      </c>
      <c r="C24" s="21" t="inlineStr">
        <is>
          <t>Brass water gun, without trigger insulation, green</t>
        </is>
      </c>
      <c r="D24" s="22" t="inlineStr">
        <is>
          <t>Classic WD gun, w/o trigger insulation, green, brass</t>
        </is>
      </c>
      <c r="E24" s="23" t="n">
        <v>0.84</v>
      </c>
      <c r="F24" s="24" t="inlineStr">
        <is>
          <t>Cat p.9</t>
        </is>
      </c>
      <c r="G24" s="25" t="n">
        <v>29.08</v>
      </c>
      <c r="H24" s="25" t="n">
        <v>25.85</v>
      </c>
      <c r="I24" s="26" t="n"/>
      <c r="J24" s="27">
        <f>IF(G24="","",G24/$C$5*(1+$C$8)+$E24*(1+$C$7)*$C$6)</f>
        <v/>
      </c>
      <c r="K24" s="27">
        <f>IF(H24="","",H24/$C$5*(1+$C$8)+$E24*(1+$C$7)*$C$6)</f>
        <v/>
      </c>
      <c r="L24" s="27">
        <f>IF(I24="","",I24/$C$5*(1+$C$8)+$E24*(1+$C$7)*$C$6)</f>
        <v/>
      </c>
      <c r="M24" s="28">
        <f>IF(J24="","",ROUND(J24*(1+$C$9),2))</f>
        <v/>
      </c>
      <c r="N24" s="28">
        <f>IF(K24="","",ROUND(K24*(1+$C$9),2))</f>
        <v/>
      </c>
      <c r="O24" s="28">
        <f>IF(L24="","",ROUND(L24*(1+$C$9),2))</f>
        <v/>
      </c>
      <c r="P24" s="29">
        <f>TRIM(IF($B24="NOT ASSIGNED","No NW part no. ","")&amp;IFERROR(IF(INDEX(Conversion!$J$2:$J$500,MATCH($A24,Conversion!$B$2:$B$500,0))="Needs review","Conversion table: needs review. ",""),"")&amp;IF(LEFT($F24,8)="ESTIMATE","Weight estimated. ","")&amp;"")</f>
        <v/>
      </c>
    </row>
    <row r="25">
      <c r="A25" s="19" t="inlineStr">
        <is>
          <t>KLMN001-BL</t>
        </is>
      </c>
      <c r="B25" s="20">
        <f>IFERROR(INDEX(Conversion!$C$2:$C$500,MATCH($A25,Conversion!$B$2:$B$500,0)),"NOT ASSIGNED")</f>
        <v/>
      </c>
      <c r="C25" s="21" t="inlineStr">
        <is>
          <t>Brass water gun, without trigger insulation, black</t>
        </is>
      </c>
      <c r="D25" s="22" t="inlineStr">
        <is>
          <t>Classic WD gun, w/o trigger insulation, black, brass</t>
        </is>
      </c>
      <c r="E25" s="23" t="n">
        <v>0.84</v>
      </c>
      <c r="F25" s="24" t="inlineStr">
        <is>
          <t>Cat p.9</t>
        </is>
      </c>
      <c r="G25" s="25" t="n">
        <v>29.08</v>
      </c>
      <c r="H25" s="25" t="n">
        <v>25.85</v>
      </c>
      <c r="I25" s="26" t="n"/>
      <c r="J25" s="27">
        <f>IF(G25="","",G25/$C$5*(1+$C$8)+$E25*(1+$C$7)*$C$6)</f>
        <v/>
      </c>
      <c r="K25" s="27">
        <f>IF(H25="","",H25/$C$5*(1+$C$8)+$E25*(1+$C$7)*$C$6)</f>
        <v/>
      </c>
      <c r="L25" s="27">
        <f>IF(I25="","",I25/$C$5*(1+$C$8)+$E25*(1+$C$7)*$C$6)</f>
        <v/>
      </c>
      <c r="M25" s="28">
        <f>IF(J25="","",ROUND(J25*(1+$C$9),2))</f>
        <v/>
      </c>
      <c r="N25" s="28">
        <f>IF(K25="","",ROUND(K25*(1+$C$9),2))</f>
        <v/>
      </c>
      <c r="O25" s="28">
        <f>IF(L25="","",ROUND(L25*(1+$C$9),2))</f>
        <v/>
      </c>
      <c r="P25" s="29">
        <f>TRIM(IF($B25="NOT ASSIGNED","No NW part no. ","")&amp;IFERROR(IF(INDEX(Conversion!$J$2:$J$500,MATCH($A25,Conversion!$B$2:$B$500,0))="Needs review","Conversion table: needs review. ",""),"")&amp;IF(LEFT($F25,8)="ESTIMATE","Weight estimated. ","")&amp;"")</f>
        <v/>
      </c>
    </row>
    <row r="26">
      <c r="A26" s="19" t="inlineStr">
        <is>
          <t>KLMN001-Y</t>
        </is>
      </c>
      <c r="B26" s="20">
        <f>IFERROR(INDEX(Conversion!$C$2:$C$500,MATCH($A26,Conversion!$B$2:$B$500,0)),"NOT ASSIGNED")</f>
        <v/>
      </c>
      <c r="C26" s="21" t="inlineStr">
        <is>
          <t>Brass water gun, without trigger insulation, yellow</t>
        </is>
      </c>
      <c r="D26" s="22" t="inlineStr">
        <is>
          <t>Classic WD gun, w/o trigger insulation, yellow, brass</t>
        </is>
      </c>
      <c r="E26" s="23" t="n">
        <v>0.84</v>
      </c>
      <c r="F26" s="24" t="inlineStr">
        <is>
          <t>Cat p.9</t>
        </is>
      </c>
      <c r="G26" s="25" t="n">
        <v>29.08</v>
      </c>
      <c r="H26" s="25" t="n">
        <v>25.85</v>
      </c>
      <c r="I26" s="26" t="n"/>
      <c r="J26" s="27">
        <f>IF(G26="","",G26/$C$5*(1+$C$8)+$E26*(1+$C$7)*$C$6)</f>
        <v/>
      </c>
      <c r="K26" s="27">
        <f>IF(H26="","",H26/$C$5*(1+$C$8)+$E26*(1+$C$7)*$C$6)</f>
        <v/>
      </c>
      <c r="L26" s="27">
        <f>IF(I26="","",I26/$C$5*(1+$C$8)+$E26*(1+$C$7)*$C$6)</f>
        <v/>
      </c>
      <c r="M26" s="28">
        <f>IF(J26="","",ROUND(J26*(1+$C$9),2))</f>
        <v/>
      </c>
      <c r="N26" s="28">
        <f>IF(K26="","",ROUND(K26*(1+$C$9),2))</f>
        <v/>
      </c>
      <c r="O26" s="28">
        <f>IF(L26="","",ROUND(L26*(1+$C$9),2))</f>
        <v/>
      </c>
      <c r="P26" s="29">
        <f>TRIM(IF($B26="NOT ASSIGNED","No NW part no. ","")&amp;IFERROR(IF(INDEX(Conversion!$J$2:$J$500,MATCH($A26,Conversion!$B$2:$B$500,0))="Needs review","Conversion table: needs review. ",""),"")&amp;IF(LEFT($F26,8)="ESTIMATE","Weight estimated. ","")&amp;"")</f>
        <v/>
      </c>
    </row>
    <row r="27">
      <c r="A27" s="19" t="inlineStr">
        <is>
          <t>KLMN001-W</t>
        </is>
      </c>
      <c r="B27" s="20">
        <f>IFERROR(INDEX(Conversion!$C$2:$C$500,MATCH($A27,Conversion!$B$2:$B$500,0)),"NOT ASSIGNED")</f>
        <v/>
      </c>
      <c r="C27" s="21" t="inlineStr">
        <is>
          <t>Brass water gun, without trigger insulation, white</t>
        </is>
      </c>
      <c r="D27" s="22" t="inlineStr">
        <is>
          <t>Classic WD gun, w/o trigger insulation, white, brass</t>
        </is>
      </c>
      <c r="E27" s="23" t="n">
        <v>0.84</v>
      </c>
      <c r="F27" s="24" t="inlineStr">
        <is>
          <t>Cat p.9</t>
        </is>
      </c>
      <c r="G27" s="25" t="n">
        <v>29.08</v>
      </c>
      <c r="H27" s="25" t="n">
        <v>25.85</v>
      </c>
      <c r="I27" s="26" t="n"/>
      <c r="J27" s="27">
        <f>IF(G27="","",G27/$C$5*(1+$C$8)+$E27*(1+$C$7)*$C$6)</f>
        <v/>
      </c>
      <c r="K27" s="27">
        <f>IF(H27="","",H27/$C$5*(1+$C$8)+$E27*(1+$C$7)*$C$6)</f>
        <v/>
      </c>
      <c r="L27" s="27">
        <f>IF(I27="","",I27/$C$5*(1+$C$8)+$E27*(1+$C$7)*$C$6)</f>
        <v/>
      </c>
      <c r="M27" s="28">
        <f>IF(J27="","",ROUND(J27*(1+$C$9),2))</f>
        <v/>
      </c>
      <c r="N27" s="28">
        <f>IF(K27="","",ROUND(K27*(1+$C$9),2))</f>
        <v/>
      </c>
      <c r="O27" s="28">
        <f>IF(L27="","",ROUND(L27*(1+$C$9),2))</f>
        <v/>
      </c>
      <c r="P27" s="29">
        <f>TRIM(IF($B27="NOT ASSIGNED","No NW part no. ","")&amp;IFERROR(IF(INDEX(Conversion!$J$2:$J$500,MATCH($A27,Conversion!$B$2:$B$500,0))="Needs review","Conversion table: needs review. ",""),"")&amp;IF(LEFT($F27,8)="ESTIMATE","Weight estimated. ","")&amp;"")</f>
        <v/>
      </c>
    </row>
    <row r="29">
      <c r="A29" s="19" t="inlineStr">
        <is>
          <t>AKMN001-B</t>
        </is>
      </c>
      <c r="B29" s="20">
        <f>IFERROR(INDEX(Conversion!$C$2:$C$500,MATCH($A29,Conversion!$B$2:$B$500,0)),"NOT ASSIGNED")</f>
        <v/>
      </c>
      <c r="C29" s="21" t="inlineStr">
        <is>
          <t>Brass water gun, blue</t>
        </is>
      </c>
      <c r="D29" s="22" t="inlineStr">
        <is>
          <t>Classic Plus WD gun, w/o trigger guard, blue, brass</t>
        </is>
      </c>
      <c r="E29" s="23" t="n">
        <v>0.835</v>
      </c>
      <c r="F29" s="24" t="inlineStr">
        <is>
          <t>Cat p.11</t>
        </is>
      </c>
      <c r="G29" s="25" t="n">
        <v>29.24</v>
      </c>
      <c r="H29" s="25" t="n">
        <v>25.99</v>
      </c>
      <c r="I29" s="26" t="n"/>
      <c r="J29" s="27">
        <f>IF(G29="","",G29/$C$5*(1+$C$8)+$E29*(1+$C$7)*$C$6)</f>
        <v/>
      </c>
      <c r="K29" s="27">
        <f>IF(H29="","",H29/$C$5*(1+$C$8)+$E29*(1+$C$7)*$C$6)</f>
        <v/>
      </c>
      <c r="L29" s="27">
        <f>IF(I29="","",I29/$C$5*(1+$C$8)+$E29*(1+$C$7)*$C$6)</f>
        <v/>
      </c>
      <c r="M29" s="28">
        <f>IF(J29="","",ROUND(J29*(1+$C$9),2))</f>
        <v/>
      </c>
      <c r="N29" s="28">
        <f>IF(K29="","",ROUND(K29*(1+$C$9),2))</f>
        <v/>
      </c>
      <c r="O29" s="28">
        <f>IF(L29="","",ROUND(L29*(1+$C$9),2))</f>
        <v/>
      </c>
      <c r="P29" s="29">
        <f>TRIM(IF($B29="NOT ASSIGNED","No NW part no. ","")&amp;IFERROR(IF(INDEX(Conversion!$J$2:$J$500,MATCH($A29,Conversion!$B$2:$B$500,0))="Needs review","Conversion table: needs review. ",""),"")&amp;IF(LEFT($F29,8)="ESTIMATE","Weight estimated. ","")&amp;"")</f>
        <v/>
      </c>
    </row>
    <row r="30">
      <c r="A30" s="19" t="inlineStr">
        <is>
          <t>AKMN001-R</t>
        </is>
      </c>
      <c r="B30" s="20">
        <f>IFERROR(INDEX(Conversion!$C$2:$C$500,MATCH($A30,Conversion!$B$2:$B$500,0)),"NOT ASSIGNED")</f>
        <v/>
      </c>
      <c r="C30" s="21" t="inlineStr">
        <is>
          <t>Brass water gun, red</t>
        </is>
      </c>
      <c r="D30" s="22" t="inlineStr">
        <is>
          <t>Classic Plus WD gun, w/o trigger guard, red, brass</t>
        </is>
      </c>
      <c r="E30" s="23" t="n">
        <v>0.835</v>
      </c>
      <c r="F30" s="24" t="inlineStr">
        <is>
          <t>Cat p.11</t>
        </is>
      </c>
      <c r="G30" s="25" t="n">
        <v>30.17</v>
      </c>
      <c r="H30" s="25" t="n">
        <v>26.82</v>
      </c>
      <c r="I30" s="26" t="n"/>
      <c r="J30" s="27">
        <f>IF(G30="","",G30/$C$5*(1+$C$8)+$E30*(1+$C$7)*$C$6)</f>
        <v/>
      </c>
      <c r="K30" s="27">
        <f>IF(H30="","",H30/$C$5*(1+$C$8)+$E30*(1+$C$7)*$C$6)</f>
        <v/>
      </c>
      <c r="L30" s="27">
        <f>IF(I30="","",I30/$C$5*(1+$C$8)+$E30*(1+$C$7)*$C$6)</f>
        <v/>
      </c>
      <c r="M30" s="28">
        <f>IF(J30="","",ROUND(J30*(1+$C$9),2))</f>
        <v/>
      </c>
      <c r="N30" s="28">
        <f>IF(K30="","",ROUND(K30*(1+$C$9),2))</f>
        <v/>
      </c>
      <c r="O30" s="28">
        <f>IF(L30="","",ROUND(L30*(1+$C$9),2))</f>
        <v/>
      </c>
      <c r="P30" s="29">
        <f>TRIM(IF($B30="NOT ASSIGNED","No NW part no. ","")&amp;IFERROR(IF(INDEX(Conversion!$J$2:$J$500,MATCH($A30,Conversion!$B$2:$B$500,0))="Needs review","Conversion table: needs review. ",""),"")&amp;IF(LEFT($F30,8)="ESTIMATE","Weight estimated. ","")&amp;"")</f>
        <v/>
      </c>
    </row>
    <row r="31">
      <c r="A31" s="19" t="inlineStr">
        <is>
          <t>AKMN001-G</t>
        </is>
      </c>
      <c r="B31" s="20">
        <f>IFERROR(INDEX(Conversion!$C$2:$C$500,MATCH($A31,Conversion!$B$2:$B$500,0)),"NOT ASSIGNED")</f>
        <v/>
      </c>
      <c r="C31" s="21" t="inlineStr">
        <is>
          <t>Brass water gun, green</t>
        </is>
      </c>
      <c r="D31" s="22" t="inlineStr">
        <is>
          <t>Classic Plus WD gun, w/o trigger guard, green, brass</t>
        </is>
      </c>
      <c r="E31" s="23" t="n">
        <v>0.835</v>
      </c>
      <c r="F31" s="24" t="inlineStr">
        <is>
          <t>Cat p.11</t>
        </is>
      </c>
      <c r="G31" s="25" t="n">
        <v>30.17</v>
      </c>
      <c r="H31" s="25" t="n">
        <v>26.82</v>
      </c>
      <c r="I31" s="26" t="n"/>
      <c r="J31" s="27">
        <f>IF(G31="","",G31/$C$5*(1+$C$8)+$E31*(1+$C$7)*$C$6)</f>
        <v/>
      </c>
      <c r="K31" s="27">
        <f>IF(H31="","",H31/$C$5*(1+$C$8)+$E31*(1+$C$7)*$C$6)</f>
        <v/>
      </c>
      <c r="L31" s="27">
        <f>IF(I31="","",I31/$C$5*(1+$C$8)+$E31*(1+$C$7)*$C$6)</f>
        <v/>
      </c>
      <c r="M31" s="28">
        <f>IF(J31="","",ROUND(J31*(1+$C$9),2))</f>
        <v/>
      </c>
      <c r="N31" s="28">
        <f>IF(K31="","",ROUND(K31*(1+$C$9),2))</f>
        <v/>
      </c>
      <c r="O31" s="28">
        <f>IF(L31="","",ROUND(L31*(1+$C$9),2))</f>
        <v/>
      </c>
      <c r="P31" s="29">
        <f>TRIM(IF($B31="NOT ASSIGNED","No NW part no. ","")&amp;IFERROR(IF(INDEX(Conversion!$J$2:$J$500,MATCH($A31,Conversion!$B$2:$B$500,0))="Needs review","Conversion table: needs review. ",""),"")&amp;IF(LEFT($F31,8)="ESTIMATE","Weight estimated. ","")&amp;"")</f>
        <v/>
      </c>
    </row>
    <row r="32">
      <c r="A32" s="19" t="inlineStr">
        <is>
          <t>AKMN001-BL</t>
        </is>
      </c>
      <c r="B32" s="20">
        <f>IFERROR(INDEX(Conversion!$C$2:$C$500,MATCH($A32,Conversion!$B$2:$B$500,0)),"NOT ASSIGNED")</f>
        <v/>
      </c>
      <c r="C32" s="21" t="inlineStr">
        <is>
          <t>Brass water gun, black</t>
        </is>
      </c>
      <c r="D32" s="22" t="inlineStr">
        <is>
          <t>Classic Plus WD gun, w/o trigger guard, black, brass</t>
        </is>
      </c>
      <c r="E32" s="23" t="n">
        <v>0.835</v>
      </c>
      <c r="F32" s="24" t="inlineStr">
        <is>
          <t>Cat p.11</t>
        </is>
      </c>
      <c r="G32" s="25" t="n">
        <v>30.17</v>
      </c>
      <c r="H32" s="25" t="n">
        <v>26.82</v>
      </c>
      <c r="I32" s="26" t="n"/>
      <c r="J32" s="27">
        <f>IF(G32="","",G32/$C$5*(1+$C$8)+$E32*(1+$C$7)*$C$6)</f>
        <v/>
      </c>
      <c r="K32" s="27">
        <f>IF(H32="","",H32/$C$5*(1+$C$8)+$E32*(1+$C$7)*$C$6)</f>
        <v/>
      </c>
      <c r="L32" s="27">
        <f>IF(I32="","",I32/$C$5*(1+$C$8)+$E32*(1+$C$7)*$C$6)</f>
        <v/>
      </c>
      <c r="M32" s="28">
        <f>IF(J32="","",ROUND(J32*(1+$C$9),2))</f>
        <v/>
      </c>
      <c r="N32" s="28">
        <f>IF(K32="","",ROUND(K32*(1+$C$9),2))</f>
        <v/>
      </c>
      <c r="O32" s="28">
        <f>IF(L32="","",ROUND(L32*(1+$C$9),2))</f>
        <v/>
      </c>
      <c r="P32" s="29">
        <f>TRIM(IF($B32="NOT ASSIGNED","No NW part no. ","")&amp;IFERROR(IF(INDEX(Conversion!$J$2:$J$500,MATCH($A32,Conversion!$B$2:$B$500,0))="Needs review","Conversion table: needs review. ",""),"")&amp;IF(LEFT($F32,8)="ESTIMATE","Weight estimated. ","")&amp;"")</f>
        <v/>
      </c>
    </row>
    <row r="33">
      <c r="A33" s="19" t="inlineStr">
        <is>
          <t>AKMN001-Y</t>
        </is>
      </c>
      <c r="B33" s="20">
        <f>IFERROR(INDEX(Conversion!$C$2:$C$500,MATCH($A33,Conversion!$B$2:$B$500,0)),"NOT ASSIGNED")</f>
        <v/>
      </c>
      <c r="C33" s="21" t="inlineStr">
        <is>
          <t>Brass water gun, yellow</t>
        </is>
      </c>
      <c r="D33" s="22" t="inlineStr">
        <is>
          <t>Classic Plus WD gun, w/o trigger guard, yellow, brass</t>
        </is>
      </c>
      <c r="E33" s="23" t="n">
        <v>0.835</v>
      </c>
      <c r="F33" s="24" t="inlineStr">
        <is>
          <t>Cat p.11</t>
        </is>
      </c>
      <c r="G33" s="25" t="n">
        <v>30.17</v>
      </c>
      <c r="H33" s="25" t="n">
        <v>26.82</v>
      </c>
      <c r="I33" s="26" t="n"/>
      <c r="J33" s="27">
        <f>IF(G33="","",G33/$C$5*(1+$C$8)+$E33*(1+$C$7)*$C$6)</f>
        <v/>
      </c>
      <c r="K33" s="27">
        <f>IF(H33="","",H33/$C$5*(1+$C$8)+$E33*(1+$C$7)*$C$6)</f>
        <v/>
      </c>
      <c r="L33" s="27">
        <f>IF(I33="","",I33/$C$5*(1+$C$8)+$E33*(1+$C$7)*$C$6)</f>
        <v/>
      </c>
      <c r="M33" s="28">
        <f>IF(J33="","",ROUND(J33*(1+$C$9),2))</f>
        <v/>
      </c>
      <c r="N33" s="28">
        <f>IF(K33="","",ROUND(K33*(1+$C$9),2))</f>
        <v/>
      </c>
      <c r="O33" s="28">
        <f>IF(L33="","",ROUND(L33*(1+$C$9),2))</f>
        <v/>
      </c>
      <c r="P33" s="29">
        <f>TRIM(IF($B33="NOT ASSIGNED","No NW part no. ","")&amp;IFERROR(IF(INDEX(Conversion!$J$2:$J$500,MATCH($A33,Conversion!$B$2:$B$500,0))="Needs review","Conversion table: needs review. ",""),"")&amp;IF(LEFT($F33,8)="ESTIMATE","Weight estimated. ","")&amp;"")</f>
        <v/>
      </c>
    </row>
    <row r="34">
      <c r="A34" s="19" t="inlineStr">
        <is>
          <t>AKMN001-W</t>
        </is>
      </c>
      <c r="B34" s="20">
        <f>IFERROR(INDEX(Conversion!$C$2:$C$500,MATCH($A34,Conversion!$B$2:$B$500,0)),"NOT ASSIGNED")</f>
        <v/>
      </c>
      <c r="C34" s="21" t="inlineStr">
        <is>
          <t>Brass water gun, white</t>
        </is>
      </c>
      <c r="D34" s="22" t="inlineStr">
        <is>
          <t>Classic Plus WD gun, w/o trigger guard, white, brass</t>
        </is>
      </c>
      <c r="E34" s="23" t="n">
        <v>0.835</v>
      </c>
      <c r="F34" s="24" t="inlineStr">
        <is>
          <t>Cat p.11</t>
        </is>
      </c>
      <c r="G34" s="25" t="n">
        <v>30.17</v>
      </c>
      <c r="H34" s="25" t="n">
        <v>26.82</v>
      </c>
      <c r="I34" s="26" t="n"/>
      <c r="J34" s="27">
        <f>IF(G34="","",G34/$C$5*(1+$C$8)+$E34*(1+$C$7)*$C$6)</f>
        <v/>
      </c>
      <c r="K34" s="27">
        <f>IF(H34="","",H34/$C$5*(1+$C$8)+$E34*(1+$C$7)*$C$6)</f>
        <v/>
      </c>
      <c r="L34" s="27">
        <f>IF(I34="","",I34/$C$5*(1+$C$8)+$E34*(1+$C$7)*$C$6)</f>
        <v/>
      </c>
      <c r="M34" s="28">
        <f>IF(J34="","",ROUND(J34*(1+$C$9),2))</f>
        <v/>
      </c>
      <c r="N34" s="28">
        <f>IF(K34="","",ROUND(K34*(1+$C$9),2))</f>
        <v/>
      </c>
      <c r="O34" s="28">
        <f>IF(L34="","",ROUND(L34*(1+$C$9),2))</f>
        <v/>
      </c>
      <c r="P34" s="29">
        <f>TRIM(IF($B34="NOT ASSIGNED","No NW part no. ","")&amp;IFERROR(IF(INDEX(Conversion!$J$2:$J$500,MATCH($A34,Conversion!$B$2:$B$500,0))="Needs review","Conversion table: needs review. ",""),"")&amp;IF(LEFT($F34,8)="ESTIMATE","Weight estimated. ","")&amp;"")</f>
        <v/>
      </c>
    </row>
    <row r="35">
      <c r="A35" s="19" t="inlineStr">
        <is>
          <t>AKMNP01-B</t>
        </is>
      </c>
      <c r="B35" s="20">
        <f>IFERROR(INDEX(Conversion!$C$2:$C$500,MATCH($A35,Conversion!$B$2:$B$500,0)),"NOT ASSIGNED")</f>
        <v/>
      </c>
      <c r="C35" s="21" t="inlineStr">
        <is>
          <t>Brass water gun with trigger protection, blue</t>
        </is>
      </c>
      <c r="D35" s="22" t="inlineStr">
        <is>
          <t>Classic Plus WD gun, w/ trigger guard, blue, brass</t>
        </is>
      </c>
      <c r="E35" s="23" t="n">
        <v>1.031</v>
      </c>
      <c r="F35" s="24" t="inlineStr">
        <is>
          <t>Cat p.11</t>
        </is>
      </c>
      <c r="G35" s="25" t="n">
        <v>35</v>
      </c>
      <c r="H35" s="25" t="n">
        <v>31.11</v>
      </c>
      <c r="I35" s="26" t="n"/>
      <c r="J35" s="27">
        <f>IF(G35="","",G35/$C$5*(1+$C$8)+$E35*(1+$C$7)*$C$6)</f>
        <v/>
      </c>
      <c r="K35" s="27">
        <f>IF(H35="","",H35/$C$5*(1+$C$8)+$E35*(1+$C$7)*$C$6)</f>
        <v/>
      </c>
      <c r="L35" s="27">
        <f>IF(I35="","",I35/$C$5*(1+$C$8)+$E35*(1+$C$7)*$C$6)</f>
        <v/>
      </c>
      <c r="M35" s="28">
        <f>IF(J35="","",ROUND(J35*(1+$C$9),2))</f>
        <v/>
      </c>
      <c r="N35" s="28">
        <f>IF(K35="","",ROUND(K35*(1+$C$9),2))</f>
        <v/>
      </c>
      <c r="O35" s="28">
        <f>IF(L35="","",ROUND(L35*(1+$C$9),2))</f>
        <v/>
      </c>
      <c r="P35" s="29">
        <f>TRIM(IF($B35="NOT ASSIGNED","No NW part no. ","")&amp;IFERROR(IF(INDEX(Conversion!$J$2:$J$500,MATCH($A35,Conversion!$B$2:$B$500,0))="Needs review","Conversion table: needs review. ",""),"")&amp;IF(LEFT($F35,8)="ESTIMATE","Weight estimated. ","")&amp;"")</f>
        <v/>
      </c>
    </row>
    <row r="37">
      <c r="A37" s="19" t="inlineStr">
        <is>
          <t>AKMN011-B</t>
        </is>
      </c>
      <c r="B37" s="20">
        <f>IFERROR(INDEX(Conversion!$C$2:$C$500,MATCH($A37,Conversion!$B$2:$B$500,0)),"NOT ASSIGNED")</f>
        <v/>
      </c>
      <c r="C37" s="21" t="inlineStr">
        <is>
          <t>Blue King superior brass water gun without trigger protection, blue</t>
        </is>
      </c>
      <c r="D37" s="22" t="inlineStr">
        <is>
          <t>Blue King WD gun, w/o trigger guard, blue, brass</t>
        </is>
      </c>
      <c r="E37" s="23" t="n">
        <v>0.706</v>
      </c>
      <c r="F37" s="24" t="inlineStr">
        <is>
          <t>Cat p.6</t>
        </is>
      </c>
      <c r="G37" s="25" t="n">
        <v>27.006012</v>
      </c>
      <c r="H37" s="25" t="n">
        <v>24.005344</v>
      </c>
      <c r="I37" s="26" t="n"/>
      <c r="J37" s="27">
        <f>IF(G37="","",G37/$C$5*(1+$C$8)+$E37*(1+$C$7)*$C$6)</f>
        <v/>
      </c>
      <c r="K37" s="27">
        <f>IF(H37="","",H37/$C$5*(1+$C$8)+$E37*(1+$C$7)*$C$6)</f>
        <v/>
      </c>
      <c r="L37" s="27">
        <f>IF(I37="","",I37/$C$5*(1+$C$8)+$E37*(1+$C$7)*$C$6)</f>
        <v/>
      </c>
      <c r="M37" s="28">
        <f>IF(J37="","",ROUND(J37*(1+$C$9),2))</f>
        <v/>
      </c>
      <c r="N37" s="28">
        <f>IF(K37="","",ROUND(K37*(1+$C$9),2))</f>
        <v/>
      </c>
      <c r="O37" s="28">
        <f>IF(L37="","",ROUND(L37*(1+$C$9),2))</f>
        <v/>
      </c>
      <c r="P37" s="29">
        <f>TRIM(IF($B37="NOT ASSIGNED","No NW part no. ","")&amp;IFERROR(IF(INDEX(Conversion!$J$2:$J$500,MATCH($A37,Conversion!$B$2:$B$500,0))="Needs review","Conversion table: needs review. ",""),"")&amp;IF(LEFT($F37,8)="ESTIMATE","Weight estimated. ","")&amp;"")</f>
        <v/>
      </c>
    </row>
    <row r="38">
      <c r="A38" s="19" t="inlineStr">
        <is>
          <t>AKMN011-B-KING</t>
        </is>
      </c>
      <c r="B38" s="20">
        <f>IFERROR(INDEX(Conversion!$C$2:$C$500,MATCH($A38,Conversion!$B$2:$B$500,0)),"NOT ASSIGNED")</f>
        <v/>
      </c>
      <c r="C38" s="21" t="inlineStr">
        <is>
          <t>Blue King superior brass water gun without trigger protection, blue with KING logo</t>
        </is>
      </c>
      <c r="D38" s="22" t="inlineStr">
        <is>
          <t>Blue King WD gun, w/o trigger guard, KING logo, blue, brass</t>
        </is>
      </c>
      <c r="E38" s="23" t="n">
        <v>0.706</v>
      </c>
      <c r="F38" s="24" t="inlineStr">
        <is>
          <t>Cat p.6 - same gun as AKMN011-B, logo only</t>
        </is>
      </c>
      <c r="G38" s="25" t="n">
        <v>27.108378</v>
      </c>
      <c r="H38" s="25" t="n">
        <v>24.096336</v>
      </c>
      <c r="I38" s="26" t="n"/>
      <c r="J38" s="27">
        <f>IF(G38="","",G38/$C$5*(1+$C$8)+$E38*(1+$C$7)*$C$6)</f>
        <v/>
      </c>
      <c r="K38" s="27">
        <f>IF(H38="","",H38/$C$5*(1+$C$8)+$E38*(1+$C$7)*$C$6)</f>
        <v/>
      </c>
      <c r="L38" s="27">
        <f>IF(I38="","",I38/$C$5*(1+$C$8)+$E38*(1+$C$7)*$C$6)</f>
        <v/>
      </c>
      <c r="M38" s="28">
        <f>IF(J38="","",ROUND(J38*(1+$C$9),2))</f>
        <v/>
      </c>
      <c r="N38" s="28">
        <f>IF(K38="","",ROUND(K38*(1+$C$9),2))</f>
        <v/>
      </c>
      <c r="O38" s="28">
        <f>IF(L38="","",ROUND(L38*(1+$C$9),2))</f>
        <v/>
      </c>
      <c r="P38" s="29">
        <f>TRIM(IF($B38="NOT ASSIGNED","No NW part no. ","")&amp;IFERROR(IF(INDEX(Conversion!$J$2:$J$500,MATCH($A38,Conversion!$B$2:$B$500,0))="Needs review","Conversion table: needs review. ",""),"")&amp;IF(LEFT($F38,8)="ESTIMATE","Weight estimated. ","")&amp;"")</f>
        <v/>
      </c>
    </row>
    <row r="39">
      <c r="A39" s="19" t="inlineStr">
        <is>
          <t>AKMNP11-B</t>
        </is>
      </c>
      <c r="B39" s="20">
        <f>IFERROR(INDEX(Conversion!$C$2:$C$500,MATCH($A39,Conversion!$B$2:$B$500,0)),"NOT ASSIGNED")</f>
        <v/>
      </c>
      <c r="C39" s="21" t="inlineStr">
        <is>
          <t>Blue King superior brass water gun with trigger protection, blue</t>
        </is>
      </c>
      <c r="D39" s="22" t="inlineStr">
        <is>
          <t>Blue King WD gun, w/ trigger guard, blue, brass</t>
        </is>
      </c>
      <c r="E39" s="23" t="n">
        <v>0.88</v>
      </c>
      <c r="F39" s="24" t="inlineStr">
        <is>
          <t>Cat p.6</t>
        </is>
      </c>
      <c r="G39" s="25" t="n">
        <v>35.288352</v>
      </c>
      <c r="H39" s="25" t="n">
        <v>31.367424</v>
      </c>
      <c r="I39" s="26" t="n"/>
      <c r="J39" s="27">
        <f>IF(G39="","",G39/$C$5*(1+$C$8)+$E39*(1+$C$7)*$C$6)</f>
        <v/>
      </c>
      <c r="K39" s="27">
        <f>IF(H39="","",H39/$C$5*(1+$C$8)+$E39*(1+$C$7)*$C$6)</f>
        <v/>
      </c>
      <c r="L39" s="27">
        <f>IF(I39="","",I39/$C$5*(1+$C$8)+$E39*(1+$C$7)*$C$6)</f>
        <v/>
      </c>
      <c r="M39" s="28">
        <f>IF(J39="","",ROUND(J39*(1+$C$9),2))</f>
        <v/>
      </c>
      <c r="N39" s="28">
        <f>IF(K39="","",ROUND(K39*(1+$C$9),2))</f>
        <v/>
      </c>
      <c r="O39" s="28">
        <f>IF(L39="","",ROUND(L39*(1+$C$9),2))</f>
        <v/>
      </c>
      <c r="P39" s="29">
        <f>TRIM(IF($B39="NOT ASSIGNED","No NW part no. ","")&amp;IFERROR(IF(INDEX(Conversion!$J$2:$J$500,MATCH($A39,Conversion!$B$2:$B$500,0))="Needs review","Conversion table: needs review. ",""),"")&amp;IF(LEFT($F39,8)="ESTIMATE","Weight estimated. ","")&amp;"")</f>
        <v/>
      </c>
    </row>
    <row r="40">
      <c r="A40" s="19" t="inlineStr">
        <is>
          <t>AKMNP11-B-KING</t>
        </is>
      </c>
      <c r="B40" s="20">
        <f>IFERROR(INDEX(Conversion!$C$2:$C$500,MATCH($A40,Conversion!$B$2:$B$500,0)),"NOT ASSIGNED")</f>
        <v/>
      </c>
      <c r="C40" s="21" t="inlineStr">
        <is>
          <t>Blue King superior brass water gun with trigger protection, blue with KING logo</t>
        </is>
      </c>
      <c r="D40" s="22" t="inlineStr">
        <is>
          <t>Blue King WD gun, w/ trigger guard, KING logo, blue, brass</t>
        </is>
      </c>
      <c r="E40" s="23" t="n">
        <v>0.88</v>
      </c>
      <c r="F40" s="24" t="inlineStr">
        <is>
          <t>Cat p.6 - same gun as AKMNP11-B, logo only</t>
        </is>
      </c>
      <c r="G40" s="25" t="n">
        <v>35.390718</v>
      </c>
      <c r="H40" s="25" t="n">
        <v>31.458416</v>
      </c>
      <c r="I40" s="26" t="n"/>
      <c r="J40" s="27">
        <f>IF(G40="","",G40/$C$5*(1+$C$8)+$E40*(1+$C$7)*$C$6)</f>
        <v/>
      </c>
      <c r="K40" s="27">
        <f>IF(H40="","",H40/$C$5*(1+$C$8)+$E40*(1+$C$7)*$C$6)</f>
        <v/>
      </c>
      <c r="L40" s="27">
        <f>IF(I40="","",I40/$C$5*(1+$C$8)+$E40*(1+$C$7)*$C$6)</f>
        <v/>
      </c>
      <c r="M40" s="28">
        <f>IF(J40="","",ROUND(J40*(1+$C$9),2))</f>
        <v/>
      </c>
      <c r="N40" s="28">
        <f>IF(K40="","",ROUND(K40*(1+$C$9),2))</f>
        <v/>
      </c>
      <c r="O40" s="28">
        <f>IF(L40="","",ROUND(L40*(1+$C$9),2))</f>
        <v/>
      </c>
      <c r="P40" s="29">
        <f>TRIM(IF($B40="NOT ASSIGNED","No NW part no. ","")&amp;IFERROR(IF(INDEX(Conversion!$J$2:$J$500,MATCH($A40,Conversion!$B$2:$B$500,0))="Needs review","Conversion table: needs review. ",""),"")&amp;IF(LEFT($F40,8)="ESTIMATE","Weight estimated. ","")&amp;"")</f>
        <v/>
      </c>
    </row>
    <row r="42">
      <c r="A42" s="19" t="inlineStr">
        <is>
          <t>AKMB001-BL</t>
        </is>
      </c>
      <c r="B42" s="20">
        <f>IFERROR(INDEX(Conversion!$C$2:$C$500,MATCH($A42,Conversion!$B$2:$B$500,0)),"NOT ASSIGNED")</f>
        <v/>
      </c>
      <c r="C42" s="21" t="inlineStr">
        <is>
          <t>Brass water gun, big flow, black</t>
        </is>
      </c>
      <c r="D42" s="22" t="inlineStr">
        <is>
          <t>Classic High-Flow WD gun, w/o trigger guard, black, brass</t>
        </is>
      </c>
      <c r="E42" s="23" t="n">
        <v>0.84</v>
      </c>
      <c r="F42" s="24" t="inlineStr">
        <is>
          <t>Cat p.20</t>
        </is>
      </c>
      <c r="G42" s="25" t="n">
        <v>36.4485</v>
      </c>
      <c r="H42" s="25" t="n">
        <v>32.81</v>
      </c>
      <c r="I42" s="26" t="n"/>
      <c r="J42" s="27">
        <f>IF(G42="","",G42/$C$5*(1+$C$8)+$E42*(1+$C$7)*$C$6)</f>
        <v/>
      </c>
      <c r="K42" s="27">
        <f>IF(H42="","",H42/$C$5*(1+$C$8)+$E42*(1+$C$7)*$C$6)</f>
        <v/>
      </c>
      <c r="L42" s="27">
        <f>IF(I42="","",I42/$C$5*(1+$C$8)+$E42*(1+$C$7)*$C$6)</f>
        <v/>
      </c>
      <c r="M42" s="28">
        <f>IF(J42="","",ROUND(J42*(1+$C$9),2))</f>
        <v/>
      </c>
      <c r="N42" s="28">
        <f>IF(K42="","",ROUND(K42*(1+$C$9),2))</f>
        <v/>
      </c>
      <c r="O42" s="28">
        <f>IF(L42="","",ROUND(L42*(1+$C$9),2))</f>
        <v/>
      </c>
      <c r="P42" s="29">
        <f>TRIM(IF($B42="NOT ASSIGNED","No NW part no. ","")&amp;IFERROR(IF(INDEX(Conversion!$J$2:$J$500,MATCH($A42,Conversion!$B$2:$B$500,0))="Needs review","Conversion table: needs review. ",""),"")&amp;IF(LEFT($F42,8)="ESTIMATE","Weight estimated. ","")&amp;"")</f>
        <v/>
      </c>
    </row>
    <row r="43">
      <c r="A43" s="19" t="inlineStr">
        <is>
          <t>AKMBP01-BL</t>
        </is>
      </c>
      <c r="B43" s="20">
        <f>IFERROR(INDEX(Conversion!$C$2:$C$500,MATCH($A43,Conversion!$B$2:$B$500,0)),"NOT ASSIGNED")</f>
        <v/>
      </c>
      <c r="C43" s="21" t="inlineStr">
        <is>
          <t>Brass water gun, big flow, with trigger protection, black</t>
        </is>
      </c>
      <c r="D43" s="22" t="inlineStr">
        <is>
          <t>Classic High-Flow WD gun, w/ trigger guard, black, brass</t>
        </is>
      </c>
      <c r="E43" s="30" t="n">
        <v>1.036</v>
      </c>
      <c r="F43" s="24" t="inlineStr">
        <is>
          <t>ESTIMATE - not tabulated; AKMB001-BL + trigger guard (AKMN delta)</t>
        </is>
      </c>
      <c r="G43" s="25" t="n">
        <v>38.88874</v>
      </c>
      <c r="H43" s="25" t="n">
        <v>35</v>
      </c>
      <c r="I43" s="26" t="n"/>
      <c r="J43" s="27">
        <f>IF(G43="","",G43/$C$5*(1+$C$8)+$E43*(1+$C$7)*$C$6)</f>
        <v/>
      </c>
      <c r="K43" s="27">
        <f>IF(H43="","",H43/$C$5*(1+$C$8)+$E43*(1+$C$7)*$C$6)</f>
        <v/>
      </c>
      <c r="L43" s="27">
        <f>IF(I43="","",I43/$C$5*(1+$C$8)+$E43*(1+$C$7)*$C$6)</f>
        <v/>
      </c>
      <c r="M43" s="28">
        <f>IF(J43="","",ROUND(J43*(1+$C$9),2))</f>
        <v/>
      </c>
      <c r="N43" s="28">
        <f>IF(K43="","",ROUND(K43*(1+$C$9),2))</f>
        <v/>
      </c>
      <c r="O43" s="28">
        <f>IF(L43="","",ROUND(L43*(1+$C$9),2))</f>
        <v/>
      </c>
      <c r="P43" s="29">
        <f>TRIM(IF($B43="NOT ASSIGNED","No NW part no. ","")&amp;IFERROR(IF(INDEX(Conversion!$J$2:$J$500,MATCH($A43,Conversion!$B$2:$B$500,0))="Needs review","Conversion table: needs review. ",""),"")&amp;IF(LEFT($F43,8)="ESTIMATE","Weight estimated. ","")&amp;"Catalogue only lists AKMBP01-B-SWM14-3/4 (with swivel) - confirm model.")</f>
        <v/>
      </c>
    </row>
    <row r="44">
      <c r="A44" s="19" t="inlineStr">
        <is>
          <t>AKRB001-BL</t>
        </is>
      </c>
      <c r="B44" s="20">
        <f>IFERROR(INDEX(Conversion!$C$2:$C$500,MATCH($A44,Conversion!$B$2:$B$500,0)),"NOT ASSIGNED")</f>
        <v/>
      </c>
      <c r="C44" s="21" t="inlineStr">
        <is>
          <t>Stainless steel water gun, high flow, black</t>
        </is>
      </c>
      <c r="D44" s="22" t="inlineStr">
        <is>
          <t>Classic High-Flow WD gun, w/o trigger guard, black, stainless steel 316</t>
        </is>
      </c>
      <c r="E44" s="30" t="n">
        <v>0.84</v>
      </c>
      <c r="F44" s="24" t="inlineStr">
        <is>
          <t>ESTIMATE - not tabulated; taken as AKMB001-BL</t>
        </is>
      </c>
      <c r="G44" s="25" t="n">
        <v>84.8</v>
      </c>
      <c r="H44" s="25" t="n">
        <v>75.38</v>
      </c>
      <c r="I44" s="26" t="n"/>
      <c r="J44" s="27">
        <f>IF(G44="","",G44/$C$5*(1+$C$8)+$E44*(1+$C$7)*$C$6)</f>
        <v/>
      </c>
      <c r="K44" s="27">
        <f>IF(H44="","",H44/$C$5*(1+$C$8)+$E44*(1+$C$7)*$C$6)</f>
        <v/>
      </c>
      <c r="L44" s="27">
        <f>IF(I44="","",I44/$C$5*(1+$C$8)+$E44*(1+$C$7)*$C$6)</f>
        <v/>
      </c>
      <c r="M44" s="28">
        <f>IF(J44="","",ROUND(J44*(1+$C$9),2))</f>
        <v/>
      </c>
      <c r="N44" s="28">
        <f>IF(K44="","",ROUND(K44*(1+$C$9),2))</f>
        <v/>
      </c>
      <c r="O44" s="28">
        <f>IF(L44="","",ROUND(L44*(1+$C$9),2))</f>
        <v/>
      </c>
      <c r="P44" s="29">
        <f>TRIM(IF($B44="NOT ASSIGNED","No NW part no. ","")&amp;IFERROR(IF(INDEX(Conversion!$J$2:$J$500,MATCH($A44,Conversion!$B$2:$B$500,0))="Needs review","Conversion table: needs review. ",""),"")&amp;IF(LEFT($F44,8)="ESTIMATE","Weight estimated. ","")&amp;"Not in Classic High-Flow brochure (brass only) - series name to confirm.")</f>
        <v/>
      </c>
    </row>
    <row r="46">
      <c r="A46" s="19" t="inlineStr">
        <is>
          <t>AKCN001-B</t>
        </is>
      </c>
      <c r="B46" s="20">
        <f>IFERROR(INDEX(Conversion!$C$2:$C$500,MATCH($A46,Conversion!$B$2:$B$500,0)),"NOT ASSIGNED")</f>
        <v/>
      </c>
      <c r="C46" s="21" t="inlineStr">
        <is>
          <t>Chrome plated brass water gun, blue</t>
        </is>
      </c>
      <c r="D46" s="22" t="inlineStr">
        <is>
          <t>Classic Protection Plus WD gun, w/o trigger guard, blue, chrome-plated brass</t>
        </is>
      </c>
      <c r="E46" s="23" t="n">
        <v>0.867</v>
      </c>
      <c r="F46" s="24" t="inlineStr">
        <is>
          <t>Cat p.13</t>
        </is>
      </c>
      <c r="G46" s="25" t="n">
        <v>36.69</v>
      </c>
      <c r="H46" s="25" t="n">
        <v>32.62</v>
      </c>
      <c r="I46" s="26" t="n"/>
      <c r="J46" s="27">
        <f>IF(G46="","",G46/$C$5*(1+$C$8)+$E46*(1+$C$7)*$C$6)</f>
        <v/>
      </c>
      <c r="K46" s="27">
        <f>IF(H46="","",H46/$C$5*(1+$C$8)+$E46*(1+$C$7)*$C$6)</f>
        <v/>
      </c>
      <c r="L46" s="27">
        <f>IF(I46="","",I46/$C$5*(1+$C$8)+$E46*(1+$C$7)*$C$6)</f>
        <v/>
      </c>
      <c r="M46" s="28">
        <f>IF(J46="","",ROUND(J46*(1+$C$9),2))</f>
        <v/>
      </c>
      <c r="N46" s="28">
        <f>IF(K46="","",ROUND(K46*(1+$C$9),2))</f>
        <v/>
      </c>
      <c r="O46" s="28">
        <f>IF(L46="","",ROUND(L46*(1+$C$9),2))</f>
        <v/>
      </c>
      <c r="P46" s="29">
        <f>TRIM(IF($B46="NOT ASSIGNED","No NW part no. ","")&amp;IFERROR(IF(INDEX(Conversion!$J$2:$J$500,MATCH($A46,Conversion!$B$2:$B$500,0))="Needs review","Conversion table: needs review. ",""),"")&amp;IF(LEFT($F46,8)="ESTIMATE","Weight estimated. ","")&amp;"")</f>
        <v/>
      </c>
    </row>
    <row r="47">
      <c r="A47" s="19" t="inlineStr">
        <is>
          <t>AKCNP01-B</t>
        </is>
      </c>
      <c r="B47" s="20">
        <f>IFERROR(INDEX(Conversion!$C$2:$C$500,MATCH($A47,Conversion!$B$2:$B$500,0)),"NOT ASSIGNED")</f>
        <v/>
      </c>
      <c r="C47" s="21" t="inlineStr">
        <is>
          <t>Chrome plated brass water gun, with trigger protection, blue</t>
        </is>
      </c>
      <c r="D47" s="22" t="inlineStr">
        <is>
          <t>Classic Protection Plus WD gun, w/ trigger guard, blue, chrome-plated brass</t>
        </is>
      </c>
      <c r="E47" s="23" t="n">
        <v>1.016</v>
      </c>
      <c r="F47" s="24" t="inlineStr">
        <is>
          <t>Cat p.13</t>
        </is>
      </c>
      <c r="G47" s="25" t="n">
        <v>38.93</v>
      </c>
      <c r="H47" s="25" t="n">
        <v>34.6</v>
      </c>
      <c r="I47" s="26" t="n"/>
      <c r="J47" s="27">
        <f>IF(G47="","",G47/$C$5*(1+$C$8)+$E47*(1+$C$7)*$C$6)</f>
        <v/>
      </c>
      <c r="K47" s="27">
        <f>IF(H47="","",H47/$C$5*(1+$C$8)+$E47*(1+$C$7)*$C$6)</f>
        <v/>
      </c>
      <c r="L47" s="27">
        <f>IF(I47="","",I47/$C$5*(1+$C$8)+$E47*(1+$C$7)*$C$6)</f>
        <v/>
      </c>
      <c r="M47" s="28">
        <f>IF(J47="","",ROUND(J47*(1+$C$9),2))</f>
        <v/>
      </c>
      <c r="N47" s="28">
        <f>IF(K47="","",ROUND(K47*(1+$C$9),2))</f>
        <v/>
      </c>
      <c r="O47" s="28">
        <f>IF(L47="","",ROUND(L47*(1+$C$9),2))</f>
        <v/>
      </c>
      <c r="P47" s="29">
        <f>TRIM(IF($B47="NOT ASSIGNED","No NW part no. ","")&amp;IFERROR(IF(INDEX(Conversion!$J$2:$J$500,MATCH($A47,Conversion!$B$2:$B$500,0))="Needs review","Conversion table: needs review. ",""),"")&amp;IF(LEFT($F47,8)="ESTIMATE","Weight estimated. ","")&amp;"")</f>
        <v/>
      </c>
    </row>
    <row r="48">
      <c r="A48" s="19" t="inlineStr">
        <is>
          <t>AKCNP01-W</t>
        </is>
      </c>
      <c r="B48" s="20">
        <f>IFERROR(INDEX(Conversion!$C$2:$C$500,MATCH($A48,Conversion!$B$2:$B$500,0)),"NOT ASSIGNED")</f>
        <v/>
      </c>
      <c r="C48" s="21" t="inlineStr">
        <is>
          <t>Chrome plated brass water gun, with trigger protection, white</t>
        </is>
      </c>
      <c r="D48" s="22" t="inlineStr">
        <is>
          <t>Classic Protection Plus WD gun, w/ trigger guard, white, chrome-plated brass</t>
        </is>
      </c>
      <c r="E48" s="23" t="n">
        <v>1.016</v>
      </c>
      <c r="F48" s="24" t="inlineStr">
        <is>
          <t>Cat p.13</t>
        </is>
      </c>
      <c r="G48" s="25" t="n">
        <v>38.93</v>
      </c>
      <c r="H48" s="25" t="n">
        <v>34.6</v>
      </c>
      <c r="I48" s="26" t="n"/>
      <c r="J48" s="27">
        <f>IF(G48="","",G48/$C$5*(1+$C$8)+$E48*(1+$C$7)*$C$6)</f>
        <v/>
      </c>
      <c r="K48" s="27">
        <f>IF(H48="","",H48/$C$5*(1+$C$8)+$E48*(1+$C$7)*$C$6)</f>
        <v/>
      </c>
      <c r="L48" s="27">
        <f>IF(I48="","",I48/$C$5*(1+$C$8)+$E48*(1+$C$7)*$C$6)</f>
        <v/>
      </c>
      <c r="M48" s="28">
        <f>IF(J48="","",ROUND(J48*(1+$C$9),2))</f>
        <v/>
      </c>
      <c r="N48" s="28">
        <f>IF(K48="","",ROUND(K48*(1+$C$9),2))</f>
        <v/>
      </c>
      <c r="O48" s="28">
        <f>IF(L48="","",ROUND(L48*(1+$C$9),2))</f>
        <v/>
      </c>
      <c r="P48" s="29">
        <f>TRIM(IF($B48="NOT ASSIGNED","No NW part no. ","")&amp;IFERROR(IF(INDEX(Conversion!$J$2:$J$500,MATCH($A48,Conversion!$B$2:$B$500,0))="Needs review","Conversion table: needs review. ",""),"")&amp;IF(LEFT($F48,8)="ESTIMATE","Weight estimated. ","")&amp;"")</f>
        <v/>
      </c>
    </row>
    <row r="50">
      <c r="A50" s="19" t="inlineStr">
        <is>
          <t>BRFT003-B</t>
        </is>
      </c>
      <c r="B50" s="20">
        <f>IFERROR(INDEX(Conversion!$C$2:$C$500,MATCH($A50,Conversion!$B$2:$B$500,0)),"NOT ASSIGNED")</f>
        <v/>
      </c>
      <c r="C50" s="21" t="inlineStr">
        <is>
          <t>Blue Princess economic stainless steel water gun, blue</t>
        </is>
      </c>
      <c r="D50" s="22" t="inlineStr">
        <is>
          <t>Blue Princess WD gun, w/o trigger guard, blue, stainless steel 316</t>
        </is>
      </c>
      <c r="E50" s="23" t="n">
        <v>0.48</v>
      </c>
      <c r="F50" s="24" t="inlineStr">
        <is>
          <t>Cat p.C</t>
        </is>
      </c>
      <c r="G50" s="25" t="n">
        <v>55.165968</v>
      </c>
      <c r="H50" s="25" t="n">
        <v>49.036416</v>
      </c>
      <c r="I50" s="26" t="n"/>
      <c r="J50" s="27">
        <f>IF(G50="","",G50/$C$5*(1+$C$8)+$E50*(1+$C$7)*$C$6)</f>
        <v/>
      </c>
      <c r="K50" s="27">
        <f>IF(H50="","",H50/$C$5*(1+$C$8)+$E50*(1+$C$7)*$C$6)</f>
        <v/>
      </c>
      <c r="L50" s="27">
        <f>IF(I50="","",I50/$C$5*(1+$C$8)+$E50*(1+$C$7)*$C$6)</f>
        <v/>
      </c>
      <c r="M50" s="28">
        <f>IF(J50="","",ROUND(J50*(1+$C$9),2))</f>
        <v/>
      </c>
      <c r="N50" s="28">
        <f>IF(K50="","",ROUND(K50*(1+$C$9),2))</f>
        <v/>
      </c>
      <c r="O50" s="28">
        <f>IF(L50="","",ROUND(L50*(1+$C$9),2))</f>
        <v/>
      </c>
      <c r="P50" s="29">
        <f>TRIM(IF($B50="NOT ASSIGNED","No NW part no. ","")&amp;IFERROR(IF(INDEX(Conversion!$J$2:$J$500,MATCH($A50,Conversion!$B$2:$B$500,0))="Needs review","Conversion table: needs review. ",""),"")&amp;IF(LEFT($F50,8)="ESTIMATE","Weight estimated. ","")&amp;"")</f>
        <v/>
      </c>
    </row>
    <row r="51">
      <c r="A51" s="19" t="inlineStr">
        <is>
          <t>BRFT003-B-PRIN</t>
        </is>
      </c>
      <c r="B51" s="20">
        <f>IFERROR(INDEX(Conversion!$C$2:$C$500,MATCH($A51,Conversion!$B$2:$B$500,0)),"NOT ASSIGNED")</f>
        <v/>
      </c>
      <c r="C51" s="21" t="inlineStr">
        <is>
          <t>Blue Princess economic stainless steel water gun, blue with PRINCESS logo</t>
        </is>
      </c>
      <c r="D51" s="22" t="inlineStr">
        <is>
          <t>Blue Princess WD gun, w/o trigger guard, PRINCESS logo, blue, stainless steel 316</t>
        </is>
      </c>
      <c r="E51" s="23" t="n">
        <v>0.48</v>
      </c>
      <c r="F51" s="24" t="inlineStr">
        <is>
          <t>Cat p.C - same gun as BRFT003-B, logo only</t>
        </is>
      </c>
      <c r="G51" s="25" t="n">
        <v>55.212498</v>
      </c>
      <c r="H51" s="25" t="n">
        <v>49.077776</v>
      </c>
      <c r="I51" s="26" t="n"/>
      <c r="J51" s="27">
        <f>IF(G51="","",G51/$C$5*(1+$C$8)+$E51*(1+$C$7)*$C$6)</f>
        <v/>
      </c>
      <c r="K51" s="27">
        <f>IF(H51="","",H51/$C$5*(1+$C$8)+$E51*(1+$C$7)*$C$6)</f>
        <v/>
      </c>
      <c r="L51" s="27">
        <f>IF(I51="","",I51/$C$5*(1+$C$8)+$E51*(1+$C$7)*$C$6)</f>
        <v/>
      </c>
      <c r="M51" s="28">
        <f>IF(J51="","",ROUND(J51*(1+$C$9),2))</f>
        <v/>
      </c>
      <c r="N51" s="28">
        <f>IF(K51="","",ROUND(K51*(1+$C$9),2))</f>
        <v/>
      </c>
      <c r="O51" s="28">
        <f>IF(L51="","",ROUND(L51*(1+$C$9),2))</f>
        <v/>
      </c>
      <c r="P51" s="29">
        <f>TRIM(IF($B51="NOT ASSIGNED","No NW part no. ","")&amp;IFERROR(IF(INDEX(Conversion!$J$2:$J$500,MATCH($A51,Conversion!$B$2:$B$500,0))="Needs review","Conversion table: needs review. ",""),"")&amp;IF(LEFT($F51,8)="ESTIMATE","Weight estimated. ","")&amp;"")</f>
        <v/>
      </c>
    </row>
    <row r="52">
      <c r="A52" s="19" t="inlineStr">
        <is>
          <t>BRFTP03-B-PRIN</t>
        </is>
      </c>
      <c r="B52" s="20">
        <f>IFERROR(INDEX(Conversion!$C$2:$C$500,MATCH($A52,Conversion!$B$2:$B$500,0)),"NOT ASSIGNED")</f>
        <v/>
      </c>
      <c r="C52" s="21" t="inlineStr">
        <is>
          <t>Blue Princess economic stainless steel water gun, with trigger guard and insulation trigger, bue with Princess logo</t>
        </is>
      </c>
      <c r="D52" s="22" t="inlineStr">
        <is>
          <t>Blue Princess WD gun, w/ trigger guard, PRINCESS logo, blue, stainless steel 316</t>
        </is>
      </c>
      <c r="E52" s="23" t="n">
        <v>0.62</v>
      </c>
      <c r="F52" s="24" t="inlineStr">
        <is>
          <t>Cat p.C (catalogue code BRFTP13-B-PRIN)</t>
        </is>
      </c>
      <c r="G52" s="25" t="n">
        <v>71.127</v>
      </c>
      <c r="H52" s="25" t="n">
        <v>63.224</v>
      </c>
      <c r="I52" s="26" t="n"/>
      <c r="J52" s="27">
        <f>IF(G52="","",G52/$C$5*(1+$C$8)+$E52*(1+$C$7)*$C$6)</f>
        <v/>
      </c>
      <c r="K52" s="27">
        <f>IF(H52="","",H52/$C$5*(1+$C$8)+$E52*(1+$C$7)*$C$6)</f>
        <v/>
      </c>
      <c r="L52" s="27">
        <f>IF(I52="","",I52/$C$5*(1+$C$8)+$E52*(1+$C$7)*$C$6)</f>
        <v/>
      </c>
      <c r="M52" s="28">
        <f>IF(J52="","",ROUND(J52*(1+$C$9),2))</f>
        <v/>
      </c>
      <c r="N52" s="28">
        <f>IF(K52="","",ROUND(K52*(1+$C$9),2))</f>
        <v/>
      </c>
      <c r="O52" s="28">
        <f>IF(L52="","",ROUND(L52*(1+$C$9),2))</f>
        <v/>
      </c>
      <c r="P52" s="29">
        <f>TRIM(IF($B52="NOT ASSIGNED","No NW part no. ","")&amp;IFERROR(IF(INDEX(Conversion!$J$2:$J$500,MATCH($A52,Conversion!$B$2:$B$500,0))="Needs review","Conversion table: needs review. ",""),"")&amp;IF(LEFT($F52,8)="ESTIMATE","Weight estimated. ","")&amp;"Pricelist code BRFTP03 vs catalogue/conversion BRFTP13 - confirm with AKBO.")</f>
        <v/>
      </c>
    </row>
    <row r="53">
      <c r="A53" s="19" t="inlineStr">
        <is>
          <t>AKRN001-B</t>
        </is>
      </c>
      <c r="B53" s="20">
        <f>IFERROR(INDEX(Conversion!$C$2:$C$500,MATCH($A53,Conversion!$B$2:$B$500,0)),"NOT ASSIGNED")</f>
        <v/>
      </c>
      <c r="C53" s="21" t="inlineStr">
        <is>
          <t>St.st. water gun, blue</t>
        </is>
      </c>
      <c r="D53" s="22" t="inlineStr">
        <is>
          <t>Classic SS WD gun, w/o trigger guard, blue, stainless steel 316</t>
        </is>
      </c>
      <c r="E53" s="23" t="n">
        <v>0.8129999999999999</v>
      </c>
      <c r="F53" s="24" t="inlineStr">
        <is>
          <t>Cat p.15</t>
        </is>
      </c>
      <c r="G53" s="25" t="n">
        <v>80.06882400000001</v>
      </c>
      <c r="H53" s="25" t="n">
        <v>71.18000000000001</v>
      </c>
      <c r="I53" s="26" t="n"/>
      <c r="J53" s="27">
        <f>IF(G53="","",G53/$C$5*(1+$C$8)+$E53*(1+$C$7)*$C$6)</f>
        <v/>
      </c>
      <c r="K53" s="27">
        <f>IF(H53="","",H53/$C$5*(1+$C$8)+$E53*(1+$C$7)*$C$6)</f>
        <v/>
      </c>
      <c r="L53" s="27">
        <f>IF(I53="","",I53/$C$5*(1+$C$8)+$E53*(1+$C$7)*$C$6)</f>
        <v/>
      </c>
      <c r="M53" s="28">
        <f>IF(J53="","",ROUND(J53*(1+$C$9),2))</f>
        <v/>
      </c>
      <c r="N53" s="28">
        <f>IF(K53="","",ROUND(K53*(1+$C$9),2))</f>
        <v/>
      </c>
      <c r="O53" s="28">
        <f>IF(L53="","",ROUND(L53*(1+$C$9),2))</f>
        <v/>
      </c>
      <c r="P53" s="29">
        <f>TRIM(IF($B53="NOT ASSIGNED","No NW part no. ","")&amp;IFERROR(IF(INDEX(Conversion!$J$2:$J$500,MATCH($A53,Conversion!$B$2:$B$500,0))="Needs review","Conversion table: needs review. ",""),"")&amp;IF(LEFT($F53,8)="ESTIMATE","Weight estimated. ","")&amp;"")</f>
        <v/>
      </c>
    </row>
    <row r="54">
      <c r="A54" s="19" t="inlineStr">
        <is>
          <t>AKRN001-W</t>
        </is>
      </c>
      <c r="B54" s="20">
        <f>IFERROR(INDEX(Conversion!$C$2:$C$500,MATCH($A54,Conversion!$B$2:$B$500,0)),"NOT ASSIGNED")</f>
        <v/>
      </c>
      <c r="C54" s="21" t="inlineStr">
        <is>
          <t>St.st. water gun, white</t>
        </is>
      </c>
      <c r="D54" s="22" t="inlineStr">
        <is>
          <t>Classic SS WD gun, w/o trigger guard, white, stainless steel 316</t>
        </is>
      </c>
      <c r="E54" s="23" t="n">
        <v>0.8129999999999999</v>
      </c>
      <c r="F54" s="24" t="inlineStr">
        <is>
          <t>Cat p.15</t>
        </is>
      </c>
      <c r="G54" s="25" t="n">
        <v>80.06882400000001</v>
      </c>
      <c r="H54" s="25" t="n">
        <v>71.18000000000001</v>
      </c>
      <c r="I54" s="26" t="n"/>
      <c r="J54" s="27">
        <f>IF(G54="","",G54/$C$5*(1+$C$8)+$E54*(1+$C$7)*$C$6)</f>
        <v/>
      </c>
      <c r="K54" s="27">
        <f>IF(H54="","",H54/$C$5*(1+$C$8)+$E54*(1+$C$7)*$C$6)</f>
        <v/>
      </c>
      <c r="L54" s="27">
        <f>IF(I54="","",I54/$C$5*(1+$C$8)+$E54*(1+$C$7)*$C$6)</f>
        <v/>
      </c>
      <c r="M54" s="28">
        <f>IF(J54="","",ROUND(J54*(1+$C$9),2))</f>
        <v/>
      </c>
      <c r="N54" s="28">
        <f>IF(K54="","",ROUND(K54*(1+$C$9),2))</f>
        <v/>
      </c>
      <c r="O54" s="28">
        <f>IF(L54="","",ROUND(L54*(1+$C$9),2))</f>
        <v/>
      </c>
      <c r="P54" s="29">
        <f>TRIM(IF($B54="NOT ASSIGNED","No NW part no. ","")&amp;IFERROR(IF(INDEX(Conversion!$J$2:$J$500,MATCH($A54,Conversion!$B$2:$B$500,0))="Needs review","Conversion table: needs review. ",""),"")&amp;IF(LEFT($F54,8)="ESTIMATE","Weight estimated. ","")&amp;"")</f>
        <v/>
      </c>
    </row>
    <row r="55">
      <c r="A55" s="19" t="inlineStr">
        <is>
          <t>AKRNP01-B</t>
        </is>
      </c>
      <c r="B55" s="20">
        <f>IFERROR(INDEX(Conversion!$C$2:$C$500,MATCH($A55,Conversion!$B$2:$B$500,0)),"NOT ASSIGNED")</f>
        <v/>
      </c>
      <c r="C55" s="21" t="inlineStr">
        <is>
          <t>St.st. water gun, with trigger protection, blue</t>
        </is>
      </c>
      <c r="D55" s="22" t="inlineStr">
        <is>
          <t>Classic SS WD gun, w/ trigger guard, blue, stainless steel 316</t>
        </is>
      </c>
      <c r="E55" s="23" t="n">
        <v>0.983</v>
      </c>
      <c r="F55" s="24" t="inlineStr">
        <is>
          <t>Cat p.15</t>
        </is>
      </c>
      <c r="G55" s="25" t="n">
        <v>82.562832</v>
      </c>
      <c r="H55" s="25" t="n">
        <v>73.39</v>
      </c>
      <c r="I55" s="26" t="n"/>
      <c r="J55" s="27">
        <f>IF(G55="","",G55/$C$5*(1+$C$8)+$E55*(1+$C$7)*$C$6)</f>
        <v/>
      </c>
      <c r="K55" s="27">
        <f>IF(H55="","",H55/$C$5*(1+$C$8)+$E55*(1+$C$7)*$C$6)</f>
        <v/>
      </c>
      <c r="L55" s="27">
        <f>IF(I55="","",I55/$C$5*(1+$C$8)+$E55*(1+$C$7)*$C$6)</f>
        <v/>
      </c>
      <c r="M55" s="28">
        <f>IF(J55="","",ROUND(J55*(1+$C$9),2))</f>
        <v/>
      </c>
      <c r="N55" s="28">
        <f>IF(K55="","",ROUND(K55*(1+$C$9),2))</f>
        <v/>
      </c>
      <c r="O55" s="28">
        <f>IF(L55="","",ROUND(L55*(1+$C$9),2))</f>
        <v/>
      </c>
      <c r="P55" s="29">
        <f>TRIM(IF($B55="NOT ASSIGNED","No NW part no. ","")&amp;IFERROR(IF(INDEX(Conversion!$J$2:$J$500,MATCH($A55,Conversion!$B$2:$B$500,0))="Needs review","Conversion table: needs review. ",""),"")&amp;IF(LEFT($F55,8)="ESTIMATE","Weight estimated. ","")&amp;"")</f>
        <v/>
      </c>
    </row>
    <row r="56">
      <c r="A56" s="19" t="inlineStr">
        <is>
          <t>AKRNP01-W</t>
        </is>
      </c>
      <c r="B56" s="20">
        <f>IFERROR(INDEX(Conversion!$C$2:$C$500,MATCH($A56,Conversion!$B$2:$B$500,0)),"NOT ASSIGNED")</f>
        <v/>
      </c>
      <c r="C56" s="21" t="inlineStr">
        <is>
          <t>St.st. water gun, with trigger protection, white</t>
        </is>
      </c>
      <c r="D56" s="22" t="inlineStr">
        <is>
          <t>Classic SS WD gun, w/ trigger guard, white, stainless steel 316</t>
        </is>
      </c>
      <c r="E56" s="23" t="n">
        <v>0.983</v>
      </c>
      <c r="F56" s="24" t="inlineStr">
        <is>
          <t>Cat p.15</t>
        </is>
      </c>
      <c r="G56" s="25" t="n">
        <v>82.562832</v>
      </c>
      <c r="H56" s="25" t="n">
        <v>73.39</v>
      </c>
      <c r="I56" s="26" t="n"/>
      <c r="J56" s="27">
        <f>IF(G56="","",G56/$C$5*(1+$C$8)+$E56*(1+$C$7)*$C$6)</f>
        <v/>
      </c>
      <c r="K56" s="27">
        <f>IF(H56="","",H56/$C$5*(1+$C$8)+$E56*(1+$C$7)*$C$6)</f>
        <v/>
      </c>
      <c r="L56" s="27">
        <f>IF(I56="","",I56/$C$5*(1+$C$8)+$E56*(1+$C$7)*$C$6)</f>
        <v/>
      </c>
      <c r="M56" s="28">
        <f>IF(J56="","",ROUND(J56*(1+$C$9),2))</f>
        <v/>
      </c>
      <c r="N56" s="28">
        <f>IF(K56="","",ROUND(K56*(1+$C$9),2))</f>
        <v/>
      </c>
      <c r="O56" s="28">
        <f>IF(L56="","",ROUND(L56*(1+$C$9),2))</f>
        <v/>
      </c>
      <c r="P56" s="29">
        <f>TRIM(IF($B56="NOT ASSIGNED","No NW part no. ","")&amp;IFERROR(IF(INDEX(Conversion!$J$2:$J$500,MATCH($A56,Conversion!$B$2:$B$500,0))="Needs review","Conversion table: needs review. ",""),"")&amp;IF(LEFT($F56,8)="ESTIMATE","Weight estimated. ","")&amp;"")</f>
        <v/>
      </c>
    </row>
    <row r="58">
      <c r="A58" s="19" t="inlineStr">
        <is>
          <t>AKRHP01-R</t>
        </is>
      </c>
      <c r="B58" s="20">
        <f>IFERROR(INDEX(Conversion!$C$2:$C$500,MATCH($A58,Conversion!$B$2:$B$500,0)),"NOT ASSIGNED")</f>
        <v/>
      </c>
      <c r="C58" s="21" t="inlineStr">
        <is>
          <t>St.st. water gun with trigger protection, Teflon/air handgrip insulation, red</t>
        </is>
      </c>
      <c r="D58" s="22" t="inlineStr">
        <is>
          <t>Classic Hot Wash WD gun, w/ trigger guard, Teflon/air insulated grip, red, stainless steel 316</t>
        </is>
      </c>
      <c r="E58" s="23" t="n">
        <v>0.98</v>
      </c>
      <c r="F58" s="24" t="inlineStr">
        <is>
          <t>Cat p.22</t>
        </is>
      </c>
      <c r="G58" s="25" t="n">
        <v>91.747854</v>
      </c>
      <c r="H58" s="25" t="n">
        <v>81.55</v>
      </c>
      <c r="I58" s="26" t="n"/>
      <c r="J58" s="27">
        <f>IF(G58="","",G58/$C$5*(1+$C$8)+$E58*(1+$C$7)*$C$6)</f>
        <v/>
      </c>
      <c r="K58" s="27">
        <f>IF(H58="","",H58/$C$5*(1+$C$8)+$E58*(1+$C$7)*$C$6)</f>
        <v/>
      </c>
      <c r="L58" s="27">
        <f>IF(I58="","",I58/$C$5*(1+$C$8)+$E58*(1+$C$7)*$C$6)</f>
        <v/>
      </c>
      <c r="M58" s="28">
        <f>IF(J58="","",ROUND(J58*(1+$C$9),2))</f>
        <v/>
      </c>
      <c r="N58" s="28">
        <f>IF(K58="","",ROUND(K58*(1+$C$9),2))</f>
        <v/>
      </c>
      <c r="O58" s="28">
        <f>IF(L58="","",ROUND(L58*(1+$C$9),2))</f>
        <v/>
      </c>
      <c r="P58" s="29">
        <f>TRIM(IF($B58="NOT ASSIGNED","No NW part no. ","")&amp;IFERROR(IF(INDEX(Conversion!$J$2:$J$500,MATCH($A58,Conversion!$B$2:$B$500,0))="Needs review","Conversion table: needs review. ",""),"")&amp;IF(LEFT($F58,8)="ESTIMATE","Weight estimated. ","")&amp;"")</f>
        <v/>
      </c>
    </row>
    <row r="59">
      <c r="A59" s="19" t="inlineStr">
        <is>
          <t>AKRHPB1-R</t>
        </is>
      </c>
      <c r="B59" s="20">
        <f>IFERROR(INDEX(Conversion!$C$2:$C$500,MATCH($A59,Conversion!$B$2:$B$500,0)),"NOT ASSIGNED")</f>
        <v/>
      </c>
      <c r="C59" s="21" t="inlineStr">
        <is>
          <t>St.st. water gun, big flow, with trigger protection, Teflon/air handgrip insulation, red</t>
        </is>
      </c>
      <c r="D59" s="22" t="inlineStr">
        <is>
          <t>Classic Hot Wash WD gun, w/ trigger guard, high flow, Teflon/air insulated grip, red, stainless steel 316</t>
        </is>
      </c>
      <c r="E59" s="23" t="n">
        <v>0.98</v>
      </c>
      <c r="F59" s="24" t="inlineStr">
        <is>
          <t>Cat p.22</t>
        </is>
      </c>
      <c r="G59" s="25" t="n">
        <v>91.747854</v>
      </c>
      <c r="H59" s="25" t="n">
        <v>81.55</v>
      </c>
      <c r="I59" s="26" t="n"/>
      <c r="J59" s="27">
        <f>IF(G59="","",G59/$C$5*(1+$C$8)+$E59*(1+$C$7)*$C$6)</f>
        <v/>
      </c>
      <c r="K59" s="27">
        <f>IF(H59="","",H59/$C$5*(1+$C$8)+$E59*(1+$C$7)*$C$6)</f>
        <v/>
      </c>
      <c r="L59" s="27">
        <f>IF(I59="","",I59/$C$5*(1+$C$8)+$E59*(1+$C$7)*$C$6)</f>
        <v/>
      </c>
      <c r="M59" s="28">
        <f>IF(J59="","",ROUND(J59*(1+$C$9),2))</f>
        <v/>
      </c>
      <c r="N59" s="28">
        <f>IF(K59="","",ROUND(K59*(1+$C$9),2))</f>
        <v/>
      </c>
      <c r="O59" s="28">
        <f>IF(L59="","",ROUND(L59*(1+$C$9),2))</f>
        <v/>
      </c>
      <c r="P59" s="29">
        <f>TRIM(IF($B59="NOT ASSIGNED","No NW part no. ","")&amp;IFERROR(IF(INDEX(Conversion!$J$2:$J$500,MATCH($A59,Conversion!$B$2:$B$500,0))="Needs review","Conversion table: needs review. ",""),"")&amp;IF(LEFT($F59,8)="ESTIMATE","Weight estimated. ","")&amp;"")</f>
        <v/>
      </c>
    </row>
    <row r="60">
      <c r="A60" s="19" t="inlineStr">
        <is>
          <t>AKRHP02-R-L40</t>
        </is>
      </c>
      <c r="B60" s="20">
        <f>IFERROR(INDEX(Conversion!$C$2:$C$500,MATCH($A60,Conversion!$B$2:$B$500,0)),"NOT ASSIGNED")</f>
        <v/>
      </c>
      <c r="C60" s="21" t="inlineStr">
        <is>
          <t>St.st. water gun with trigger protection, Teflon/air handgrip insulation, 40cm lance, red</t>
        </is>
      </c>
      <c r="D60" s="22" t="inlineStr">
        <is>
          <t>Classic Hot Wash WD gun, w/ trigger guard, 40 cm lance, Teflon/air insulated grip, red, stainless steel 316</t>
        </is>
      </c>
      <c r="E60" s="23" t="n">
        <v>1.9</v>
      </c>
      <c r="F60" s="24" t="inlineStr">
        <is>
          <t>Cat p.22</t>
        </is>
      </c>
      <c r="G60" s="25" t="n">
        <v>143.191422</v>
      </c>
      <c r="H60" s="25" t="n">
        <v>127.28</v>
      </c>
      <c r="I60" s="26" t="n"/>
      <c r="J60" s="27">
        <f>IF(G60="","",G60/$C$5*(1+$C$8)+$E60*(1+$C$7)*$C$6)</f>
        <v/>
      </c>
      <c r="K60" s="27">
        <f>IF(H60="","",H60/$C$5*(1+$C$8)+$E60*(1+$C$7)*$C$6)</f>
        <v/>
      </c>
      <c r="L60" s="27">
        <f>IF(I60="","",I60/$C$5*(1+$C$8)+$E60*(1+$C$7)*$C$6)</f>
        <v/>
      </c>
      <c r="M60" s="28">
        <f>IF(J60="","",ROUND(J60*(1+$C$9),2))</f>
        <v/>
      </c>
      <c r="N60" s="28">
        <f>IF(K60="","",ROUND(K60*(1+$C$9),2))</f>
        <v/>
      </c>
      <c r="O60" s="28">
        <f>IF(L60="","",ROUND(L60*(1+$C$9),2))</f>
        <v/>
      </c>
      <c r="P60" s="29">
        <f>TRIM(IF($B60="NOT ASSIGNED","No NW part no. ","")&amp;IFERROR(IF(INDEX(Conversion!$J$2:$J$500,MATCH($A60,Conversion!$B$2:$B$500,0))="Needs review","Conversion table: needs review. ",""),"")&amp;IF(LEFT($F60,8)="ESTIMATE","Weight estimated. ","")&amp;"")</f>
        <v/>
      </c>
    </row>
    <row r="62">
      <c r="A62" s="19" t="inlineStr">
        <is>
          <t>AKRNP01-BL-EX</t>
        </is>
      </c>
      <c r="B62" s="20">
        <f>IFERROR(INDEX(Conversion!$C$2:$C$500,MATCH($A62,Conversion!$B$2:$B$500,0)),"NOT ASSIGNED")</f>
        <v/>
      </c>
      <c r="C62" s="21" t="inlineStr">
        <is>
          <t>St.st. water gun, with trigger protection, EX-covers, black</t>
        </is>
      </c>
      <c r="D62" s="22" t="inlineStr">
        <is>
          <t>Classic ATEX WD gun, w/ trigger guard, Zone 1 &amp; 2, black, stainless steel 316</t>
        </is>
      </c>
      <c r="E62" s="23" t="n">
        <v>0.957</v>
      </c>
      <c r="F62" s="24" t="inlineStr">
        <is>
          <t>Cat p.23</t>
        </is>
      </c>
      <c r="G62" s="25" t="n">
        <v>103.147704</v>
      </c>
      <c r="H62" s="25" t="n">
        <v>91.69</v>
      </c>
      <c r="I62" s="26" t="n"/>
      <c r="J62" s="27">
        <f>IF(G62="","",G62/$C$5*(1+$C$8)+$E62*(1+$C$7)*$C$6)</f>
        <v/>
      </c>
      <c r="K62" s="27">
        <f>IF(H62="","",H62/$C$5*(1+$C$8)+$E62*(1+$C$7)*$C$6)</f>
        <v/>
      </c>
      <c r="L62" s="27">
        <f>IF(I62="","",I62/$C$5*(1+$C$8)+$E62*(1+$C$7)*$C$6)</f>
        <v/>
      </c>
      <c r="M62" s="28">
        <f>IF(J62="","",ROUND(J62*(1+$C$9),2))</f>
        <v/>
      </c>
      <c r="N62" s="28">
        <f>IF(K62="","",ROUND(K62*(1+$C$9),2))</f>
        <v/>
      </c>
      <c r="O62" s="28">
        <f>IF(L62="","",ROUND(L62*(1+$C$9),2))</f>
        <v/>
      </c>
      <c r="P62" s="29">
        <f>TRIM(IF($B62="NOT ASSIGNED","No NW part no. ","")&amp;IFERROR(IF(INDEX(Conversion!$J$2:$J$500,MATCH($A62,Conversion!$B$2:$B$500,0))="Needs review","Conversion table: needs review. ",""),"")&amp;IF(LEFT($F62,8)="ESTIMATE","Weight estimated. ","")&amp;"")</f>
        <v/>
      </c>
    </row>
    <row r="63">
      <c r="A63" s="19" t="inlineStr">
        <is>
          <t>AKRN002-LB-LAT</t>
        </is>
      </c>
      <c r="B63" s="20">
        <f>IFERROR(INDEX(Conversion!$C$2:$C$500,MATCH($A63,Conversion!$B$2:$B$500,0)),"NOT ASSIGNED")</f>
        <v/>
      </c>
      <c r="C63" s="21" t="inlineStr">
        <is>
          <t>St.st. water gun with latex cover, light blue</t>
        </is>
      </c>
      <c r="D63" s="22" t="inlineStr">
        <is>
          <t>Classic SS Sterilisable WD gun, latex jacket, light blue, stainless steel 316</t>
        </is>
      </c>
      <c r="E63" s="23" t="n">
        <v>0.87</v>
      </c>
      <c r="F63" s="24" t="inlineStr">
        <is>
          <t>Cat p.24</t>
        </is>
      </c>
      <c r="G63" s="25" t="n">
        <v>114.55686</v>
      </c>
      <c r="H63" s="25" t="n">
        <v>101.83</v>
      </c>
      <c r="I63" s="26" t="n"/>
      <c r="J63" s="27">
        <f>IF(G63="","",G63/$C$5*(1+$C$8)+$E63*(1+$C$7)*$C$6)</f>
        <v/>
      </c>
      <c r="K63" s="27">
        <f>IF(H63="","",H63/$C$5*(1+$C$8)+$E63*(1+$C$7)*$C$6)</f>
        <v/>
      </c>
      <c r="L63" s="27">
        <f>IF(I63="","",I63/$C$5*(1+$C$8)+$E63*(1+$C$7)*$C$6)</f>
        <v/>
      </c>
      <c r="M63" s="28">
        <f>IF(J63="","",ROUND(J63*(1+$C$9),2))</f>
        <v/>
      </c>
      <c r="N63" s="28">
        <f>IF(K63="","",ROUND(K63*(1+$C$9),2))</f>
        <v/>
      </c>
      <c r="O63" s="28">
        <f>IF(L63="","",ROUND(L63*(1+$C$9),2))</f>
        <v/>
      </c>
      <c r="P63" s="29">
        <f>TRIM(IF($B63="NOT ASSIGNED","No NW part no. ","")&amp;IFERROR(IF(INDEX(Conversion!$J$2:$J$500,MATCH($A63,Conversion!$B$2:$B$500,0))="Needs review","Conversion table: needs review. ",""),"")&amp;IF(LEFT($F63,8)="ESTIMATE","Weight estimated. ","")&amp;"")</f>
        <v/>
      </c>
    </row>
    <row r="65">
      <c r="A65" s="19" t="inlineStr">
        <is>
          <t>AKRSV01-B</t>
        </is>
      </c>
      <c r="B65" s="20">
        <f>IFERROR(INDEX(Conversion!$C$2:$C$500,MATCH($A65,Conversion!$B$2:$B$500,0)),"NOT ASSIGNED")</f>
        <v/>
      </c>
      <c r="C65" s="21" t="inlineStr">
        <is>
          <t>Versatile stainless steel squeeze valve "Squeezer", blue</t>
        </is>
      </c>
      <c r="D65" s="22" t="inlineStr">
        <is>
          <t>The Squeezer valve, self-closing, 1/2" F x 1/2" F, blue, stainless steel 304</t>
        </is>
      </c>
      <c r="E65" s="23" t="n">
        <v>0.635</v>
      </c>
      <c r="F65" s="24" t="inlineStr">
        <is>
          <t>Cat p.A</t>
        </is>
      </c>
      <c r="G65" s="25" t="n">
        <v>63.12</v>
      </c>
      <c r="H65" s="25" t="n">
        <v>59.41</v>
      </c>
      <c r="I65" s="25" t="n">
        <v>51.98</v>
      </c>
      <c r="J65" s="27">
        <f>IF(G65="","",G65/$C$5*(1+$C$8)+$E65*(1+$C$7)*$C$6)</f>
        <v/>
      </c>
      <c r="K65" s="27">
        <f>IF(H65="","",H65/$C$5*(1+$C$8)+$E65*(1+$C$7)*$C$6)</f>
        <v/>
      </c>
      <c r="L65" s="27">
        <f>IF(I65="","",I65/$C$5*(1+$C$8)+$E65*(1+$C$7)*$C$6)</f>
        <v/>
      </c>
      <c r="M65" s="28">
        <f>IF(J65="","",ROUND(J65*(1+$C$9),2))</f>
        <v/>
      </c>
      <c r="N65" s="28">
        <f>IF(K65="","",ROUND(K65*(1+$C$9),2))</f>
        <v/>
      </c>
      <c r="O65" s="28">
        <f>IF(L65="","",ROUND(L65*(1+$C$9),2))</f>
        <v/>
      </c>
      <c r="P65" s="29">
        <f>TRIM(IF($B65="NOT ASSIGNED","No NW part no. ","")&amp;IFERROR(IF(INDEX(Conversion!$J$2:$J$500,MATCH($A65,Conversion!$B$2:$B$500,0))="Needs review","Conversion table: needs review. ",""),"")&amp;IF(LEFT($F65,8)="ESTIMATE","Weight estimated. ","")&amp;"")</f>
        <v/>
      </c>
    </row>
    <row r="66">
      <c r="A66" s="19" t="inlineStr">
        <is>
          <t>AKR001-B</t>
        </is>
      </c>
      <c r="B66" s="20">
        <f>IFERROR(INDEX(Conversion!$C$2:$C$500,MATCH($A66,Conversion!$B$2:$B$500,0)),"NOT ASSIGNED")</f>
        <v/>
      </c>
      <c r="C66" s="21" t="inlineStr">
        <is>
          <t>St, st. shower head, blue</t>
        </is>
      </c>
      <c r="D66" s="22" t="inlineStr">
        <is>
          <t>The Squeezer shower head, 1/2" M, blue, stainless steel 304 / PA66</t>
        </is>
      </c>
      <c r="E66" s="23" t="n">
        <v>0.125</v>
      </c>
      <c r="F66" s="24" t="inlineStr">
        <is>
          <t>Cat p.B (catalogue code AKRS001-B)</t>
        </is>
      </c>
      <c r="G66" s="25" t="n">
        <v>18.28</v>
      </c>
      <c r="H66" s="25" t="n">
        <v>17.2</v>
      </c>
      <c r="I66" s="25" t="n">
        <v>15.05</v>
      </c>
      <c r="J66" s="27">
        <f>IF(G66="","",G66/$C$5*(1+$C$8)+$E66*(1+$C$7)*$C$6)</f>
        <v/>
      </c>
      <c r="K66" s="27">
        <f>IF(H66="","",H66/$C$5*(1+$C$8)+$E66*(1+$C$7)*$C$6)</f>
        <v/>
      </c>
      <c r="L66" s="27">
        <f>IF(I66="","",I66/$C$5*(1+$C$8)+$E66*(1+$C$7)*$C$6)</f>
        <v/>
      </c>
      <c r="M66" s="28">
        <f>IF(J66="","",ROUND(J66*(1+$C$9),2))</f>
        <v/>
      </c>
      <c r="N66" s="28">
        <f>IF(K66="","",ROUND(K66*(1+$C$9),2))</f>
        <v/>
      </c>
      <c r="O66" s="28">
        <f>IF(L66="","",ROUND(L66*(1+$C$9),2))</f>
        <v/>
      </c>
      <c r="P66" s="29">
        <f>TRIM(IF($B66="NOT ASSIGNED","No NW part no. ","")&amp;IFERROR(IF(INDEX(Conversion!$J$2:$J$500,MATCH($A66,Conversion!$B$2:$B$500,0))="Needs review","Conversion table: needs review. ",""),"")&amp;IF(LEFT($F66,8)="ESTIMATE","Weight estimated. ","")&amp;"Catalogue code is AKRS001-B - confirm with AKBO.")</f>
        <v/>
      </c>
    </row>
    <row r="68">
      <c r="A68" s="14" t="inlineStr">
        <is>
          <t>Baby water guns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</row>
    <row r="70">
      <c r="A70" s="16" t="inlineStr">
        <is>
          <t>Qty break</t>
        </is>
      </c>
      <c r="B70" s="17" t="n"/>
      <c r="C70" s="17" t="n"/>
      <c r="D70" s="17" t="n"/>
      <c r="E70" s="17" t="n"/>
      <c r="F70" s="17" t="n"/>
      <c r="G70" s="18" t="inlineStr">
        <is>
          <t>&lt; 20 pcs</t>
        </is>
      </c>
      <c r="H70" s="18" t="inlineStr">
        <is>
          <t>≥ 20 pcs</t>
        </is>
      </c>
      <c r="I70" s="18" t="n"/>
      <c r="J70" s="18" t="inlineStr">
        <is>
          <t>&lt; 20 pcs</t>
        </is>
      </c>
      <c r="K70" s="18" t="inlineStr">
        <is>
          <t>≥ 20 pcs</t>
        </is>
      </c>
      <c r="L70" s="18" t="n"/>
      <c r="M70" s="18" t="inlineStr">
        <is>
          <t>&lt; 20 pcs</t>
        </is>
      </c>
      <c r="N70" s="18" t="inlineStr">
        <is>
          <t>≥ 20 pcs</t>
        </is>
      </c>
      <c r="O70" s="18" t="n"/>
      <c r="P70" s="17" t="n"/>
    </row>
    <row r="71">
      <c r="A71" s="31" t="inlineStr">
        <is>
          <t>Baby water guns "aluminium"</t>
        </is>
      </c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</row>
    <row r="73">
      <c r="A73" s="19" t="inlineStr">
        <is>
          <t>BABTN01-B</t>
        </is>
      </c>
      <c r="B73" s="20">
        <f>IFERROR(INDEX(Conversion!$C$2:$C$500,MATCH($A73,Conversion!$B$2:$B$500,0)),"NOT ASSIGNED")</f>
        <v/>
      </c>
      <c r="C73" s="21" t="inlineStr">
        <is>
          <t>Aluminium "baby" water gun, back trigger, blue</t>
        </is>
      </c>
      <c r="D73" s="22" t="inlineStr">
        <is>
          <t>Baby WD gun, rear trigger, blue, aluminium</t>
        </is>
      </c>
      <c r="E73" s="23" t="n">
        <v>0.36</v>
      </c>
      <c r="F73" s="24" t="inlineStr">
        <is>
          <t>Cat p.18</t>
        </is>
      </c>
      <c r="G73" s="25" t="n">
        <v>19.458846</v>
      </c>
      <c r="H73" s="25" t="n">
        <v>17.296752</v>
      </c>
      <c r="I73" s="26" t="n"/>
      <c r="J73" s="27">
        <f>IF(G73="","",G73/$C$5*(1+$C$8)+$E73*(1+$C$7)*$C$6)</f>
        <v/>
      </c>
      <c r="K73" s="27">
        <f>IF(H73="","",H73/$C$5*(1+$C$8)+$E73*(1+$C$7)*$C$6)</f>
        <v/>
      </c>
      <c r="L73" s="27">
        <f>IF(I73="","",I73/$C$5*(1+$C$8)+$E73*(1+$C$7)*$C$6)</f>
        <v/>
      </c>
      <c r="M73" s="28">
        <f>IF(J73="","",ROUND(J73*(1+$C$9),2))</f>
        <v/>
      </c>
      <c r="N73" s="28">
        <f>IF(K73="","",ROUND(K73*(1+$C$9),2))</f>
        <v/>
      </c>
      <c r="O73" s="28">
        <f>IF(L73="","",ROUND(L73*(1+$C$9),2))</f>
        <v/>
      </c>
      <c r="P73" s="29">
        <f>TRIM(IF($B73="NOT ASSIGNED","No NW part no. ","")&amp;IFERROR(IF(INDEX(Conversion!$J$2:$J$500,MATCH($A73,Conversion!$B$2:$B$500,0))="Needs review","Conversion table: needs review. ",""),"")&amp;IF(LEFT($F73,8)="ESTIMATE","Weight estimated. ","")&amp;"")</f>
        <v/>
      </c>
    </row>
    <row r="74">
      <c r="A74" s="19" t="inlineStr">
        <is>
          <t>BABTLF1-BL</t>
        </is>
      </c>
      <c r="B74" s="20">
        <f>IFERROR(INDEX(Conversion!$C$2:$C$500,MATCH($A74,Conversion!$B$2:$B$500,0)),"NOT ASSIGNED")</f>
        <v/>
      </c>
      <c r="C74" s="21" t="inlineStr">
        <is>
          <t>Aluminium "baby" water gun, back trigger, 1/2" female outlet, black</t>
        </is>
      </c>
      <c r="D74" s="22" t="inlineStr">
        <is>
          <t>Baby WD gun, rear trigger, 1/2" F outlet, black, aluminium</t>
        </is>
      </c>
      <c r="E74" s="23" t="n">
        <v>0.365</v>
      </c>
      <c r="F74" s="24" t="inlineStr">
        <is>
          <t>Cat p.37</t>
        </is>
      </c>
      <c r="G74" s="25" t="n">
        <v>20.56626</v>
      </c>
      <c r="H74" s="25" t="n">
        <v>18.28112</v>
      </c>
      <c r="I74" s="26" t="n"/>
      <c r="J74" s="27">
        <f>IF(G74="","",G74/$C$5*(1+$C$8)+$E74*(1+$C$7)*$C$6)</f>
        <v/>
      </c>
      <c r="K74" s="27">
        <f>IF(H74="","",H74/$C$5*(1+$C$8)+$E74*(1+$C$7)*$C$6)</f>
        <v/>
      </c>
      <c r="L74" s="27">
        <f>IF(I74="","",I74/$C$5*(1+$C$8)+$E74*(1+$C$7)*$C$6)</f>
        <v/>
      </c>
      <c r="M74" s="28">
        <f>IF(J74="","",ROUND(J74*(1+$C$9),2))</f>
        <v/>
      </c>
      <c r="N74" s="28">
        <f>IF(K74="","",ROUND(K74*(1+$C$9),2))</f>
        <v/>
      </c>
      <c r="O74" s="28">
        <f>IF(L74="","",ROUND(L74*(1+$C$9),2))</f>
        <v/>
      </c>
      <c r="P74" s="29">
        <f>TRIM(IF($B74="NOT ASSIGNED","No NW part no. ","")&amp;IFERROR(IF(INDEX(Conversion!$J$2:$J$500,MATCH($A74,Conversion!$B$2:$B$500,0))="Needs review","Conversion table: needs review. ",""),"")&amp;IF(LEFT($F74,8)="ESTIMATE","Weight estimated. ","")&amp;"")</f>
        <v/>
      </c>
    </row>
    <row r="75">
      <c r="A75" s="19" t="inlineStr">
        <is>
          <t>BABTA01-B</t>
        </is>
      </c>
      <c r="B75" s="20">
        <f>IFERROR(INDEX(Conversion!$C$2:$C$500,MATCH($A75,Conversion!$B$2:$B$500,0)),"NOT ASSIGNED")</f>
        <v/>
      </c>
      <c r="C75" s="21" t="inlineStr">
        <is>
          <t>Aluminium "baby" water gun, back trigger, adapter outlet, blue</t>
        </is>
      </c>
      <c r="D75" s="22" t="inlineStr">
        <is>
          <t>Baby WD gun, rear trigger, adapter outlet, blue, aluminium</t>
        </is>
      </c>
      <c r="E75" s="30" t="n">
        <v>0.365</v>
      </c>
      <c r="F75" s="24" t="inlineStr">
        <is>
          <t>ESTIMATE - not in catalogue; taken as BABTLF1-BL</t>
        </is>
      </c>
      <c r="G75" s="25" t="n">
        <v>20.56626</v>
      </c>
      <c r="H75" s="25" t="n">
        <v>18.28112</v>
      </c>
      <c r="I75" s="26" t="n"/>
      <c r="J75" s="27">
        <f>IF(G75="","",G75/$C$5*(1+$C$8)+$E75*(1+$C$7)*$C$6)</f>
        <v/>
      </c>
      <c r="K75" s="27">
        <f>IF(H75="","",H75/$C$5*(1+$C$8)+$E75*(1+$C$7)*$C$6)</f>
        <v/>
      </c>
      <c r="L75" s="27">
        <f>IF(I75="","",I75/$C$5*(1+$C$8)+$E75*(1+$C$7)*$C$6)</f>
        <v/>
      </c>
      <c r="M75" s="28">
        <f>IF(J75="","",ROUND(J75*(1+$C$9),2))</f>
        <v/>
      </c>
      <c r="N75" s="28">
        <f>IF(K75="","",ROUND(K75*(1+$C$9),2))</f>
        <v/>
      </c>
      <c r="O75" s="28">
        <f>IF(L75="","",ROUND(L75*(1+$C$9),2))</f>
        <v/>
      </c>
      <c r="P75" s="29">
        <f>TRIM(IF($B75="NOT ASSIGNED","No NW part no. ","")&amp;IFERROR(IF(INDEX(Conversion!$J$2:$J$500,MATCH($A75,Conversion!$B$2:$B$500,0))="Needs review","Conversion table: needs review. ",""),"")&amp;IF(LEFT($F75,8)="ESTIMATE","Weight estimated. ","")&amp;"")</f>
        <v/>
      </c>
    </row>
    <row r="76">
      <c r="A76" s="19" t="inlineStr">
        <is>
          <t>BABTNAA-B</t>
        </is>
      </c>
      <c r="B76" s="20">
        <f>IFERROR(INDEX(Conversion!$C$2:$C$500,MATCH($A76,Conversion!$B$2:$B$500,0)),"NOT ASSIGNED")</f>
        <v/>
      </c>
      <c r="C76" s="21" t="inlineStr">
        <is>
          <t>Aluminium "baby" water gun, back trigger, adapter in/output, blue</t>
        </is>
      </c>
      <c r="D76" s="22" t="inlineStr">
        <is>
          <t>Baby WD gun, rear trigger, adapter inlet &amp; outlet, blue, aluminium</t>
        </is>
      </c>
      <c r="E76" s="30" t="n">
        <v>0.37</v>
      </c>
      <c r="F76" s="24" t="inlineStr">
        <is>
          <t>ESTIMATE - not in catalogue; BABTN01-B + adapters</t>
        </is>
      </c>
      <c r="G76" s="25" t="n">
        <v>22.7997</v>
      </c>
      <c r="H76" s="25" t="n">
        <v>20.2664</v>
      </c>
      <c r="I76" s="26" t="n"/>
      <c r="J76" s="27">
        <f>IF(G76="","",G76/$C$5*(1+$C$8)+$E76*(1+$C$7)*$C$6)</f>
        <v/>
      </c>
      <c r="K76" s="27">
        <f>IF(H76="","",H76/$C$5*(1+$C$8)+$E76*(1+$C$7)*$C$6)</f>
        <v/>
      </c>
      <c r="L76" s="27">
        <f>IF(I76="","",I76/$C$5*(1+$C$8)+$E76*(1+$C$7)*$C$6)</f>
        <v/>
      </c>
      <c r="M76" s="28">
        <f>IF(J76="","",ROUND(J76*(1+$C$9),2))</f>
        <v/>
      </c>
      <c r="N76" s="28">
        <f>IF(K76="","",ROUND(K76*(1+$C$9),2))</f>
        <v/>
      </c>
      <c r="O76" s="28">
        <f>IF(L76="","",ROUND(L76*(1+$C$9),2))</f>
        <v/>
      </c>
      <c r="P76" s="29">
        <f>TRIM(IF($B76="NOT ASSIGNED","No NW part no. ","")&amp;IFERROR(IF(INDEX(Conversion!$J$2:$J$500,MATCH($A76,Conversion!$B$2:$B$500,0))="Needs review","Conversion table: needs review. ",""),"")&amp;IF(LEFT($F76,8)="ESTIMATE","Weight estimated. ","")&amp;"")</f>
        <v/>
      </c>
    </row>
    <row r="78">
      <c r="A78" s="31" t="inlineStr">
        <is>
          <t>Baby water guns "brass"</t>
        </is>
      </c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  <c r="O78" s="32" t="n"/>
      <c r="P78" s="32" t="n"/>
    </row>
    <row r="80">
      <c r="A80" s="19" t="inlineStr">
        <is>
          <t>BMBTN01-B</t>
        </is>
      </c>
      <c r="B80" s="20">
        <f>IFERROR(INDEX(Conversion!$C$2:$C$500,MATCH($A80,Conversion!$B$2:$B$500,0)),"NOT ASSIGNED")</f>
        <v/>
      </c>
      <c r="C80" s="21" t="inlineStr">
        <is>
          <t>Brass "baby" water gun, back trigger, blue</t>
        </is>
      </c>
      <c r="D80" s="22" t="inlineStr">
        <is>
          <t>Baby WD gun, rear trigger, blue, brass</t>
        </is>
      </c>
      <c r="E80" s="23" t="n">
        <v>0.622</v>
      </c>
      <c r="F80" s="24" t="inlineStr">
        <is>
          <t>Cat p.18</t>
        </is>
      </c>
      <c r="G80" s="25" t="n">
        <v>22.418154</v>
      </c>
      <c r="H80" s="25" t="n">
        <v>19.927248</v>
      </c>
      <c r="I80" s="26" t="n"/>
      <c r="J80" s="27">
        <f>IF(G80="","",G80/$C$5*(1+$C$8)+$E80*(1+$C$7)*$C$6)</f>
        <v/>
      </c>
      <c r="K80" s="27">
        <f>IF(H80="","",H80/$C$5*(1+$C$8)+$E80*(1+$C$7)*$C$6)</f>
        <v/>
      </c>
      <c r="L80" s="27">
        <f>IF(I80="","",I80/$C$5*(1+$C$8)+$E80*(1+$C$7)*$C$6)</f>
        <v/>
      </c>
      <c r="M80" s="28">
        <f>IF(J80="","",ROUND(J80*(1+$C$9),2))</f>
        <v/>
      </c>
      <c r="N80" s="28">
        <f>IF(K80="","",ROUND(K80*(1+$C$9),2))</f>
        <v/>
      </c>
      <c r="O80" s="28">
        <f>IF(L80="","",ROUND(L80*(1+$C$9),2))</f>
        <v/>
      </c>
      <c r="P80" s="29">
        <f>TRIM(IF($B80="NOT ASSIGNED","No NW part no. ","")&amp;IFERROR(IF(INDEX(Conversion!$J$2:$J$500,MATCH($A80,Conversion!$B$2:$B$500,0))="Needs review","Conversion table: needs review. ",""),"")&amp;IF(LEFT($F80,8)="ESTIMATE","Weight estimated. ","")&amp;"")</f>
        <v/>
      </c>
    </row>
    <row r="81">
      <c r="A81" s="19" t="inlineStr">
        <is>
          <t>BMBNN01-B</t>
        </is>
      </c>
      <c r="B81" s="20">
        <f>IFERROR(INDEX(Conversion!$C$2:$C$500,MATCH($A81,Conversion!$B$2:$B$500,0)),"NOT ASSIGNED")</f>
        <v/>
      </c>
      <c r="C81" s="21" t="inlineStr">
        <is>
          <t>Brass "baby" water gun, back trigger, 1/2" male outlet with adjustable spray pattern, blue</t>
        </is>
      </c>
      <c r="D81" s="22" t="inlineStr">
        <is>
          <t>Baby WD gun, rear trigger, 1/2" M outlet, adjustable nozzle, blue, brass</t>
        </is>
      </c>
      <c r="E81" s="23" t="n">
        <v>0.65</v>
      </c>
      <c r="F81" s="24" t="inlineStr">
        <is>
          <t>Cat p.37</t>
        </is>
      </c>
      <c r="G81" s="25" t="n">
        <v>22.418154</v>
      </c>
      <c r="H81" s="25" t="n">
        <v>19.927248</v>
      </c>
      <c r="I81" s="26" t="n"/>
      <c r="J81" s="27">
        <f>IF(G81="","",G81/$C$5*(1+$C$8)+$E81*(1+$C$7)*$C$6)</f>
        <v/>
      </c>
      <c r="K81" s="27">
        <f>IF(H81="","",H81/$C$5*(1+$C$8)+$E81*(1+$C$7)*$C$6)</f>
        <v/>
      </c>
      <c r="L81" s="27">
        <f>IF(I81="","",I81/$C$5*(1+$C$8)+$E81*(1+$C$7)*$C$6)</f>
        <v/>
      </c>
      <c r="M81" s="28">
        <f>IF(J81="","",ROUND(J81*(1+$C$9),2))</f>
        <v/>
      </c>
      <c r="N81" s="28">
        <f>IF(K81="","",ROUND(K81*(1+$C$9),2))</f>
        <v/>
      </c>
      <c r="O81" s="28">
        <f>IF(L81="","",ROUND(L81*(1+$C$9),2))</f>
        <v/>
      </c>
      <c r="P81" s="29">
        <f>TRIM(IF($B81="NOT ASSIGNED","No NW part no. ","")&amp;IFERROR(IF(INDEX(Conversion!$J$2:$J$500,MATCH($A81,Conversion!$B$2:$B$500,0))="Needs review","Conversion table: needs review. ",""),"")&amp;IF(LEFT($F81,8)="ESTIMATE","Weight estimated. ","")&amp;"")</f>
        <v/>
      </c>
    </row>
    <row r="82">
      <c r="A82" s="19" t="inlineStr">
        <is>
          <t>BMBTL01-B</t>
        </is>
      </c>
      <c r="B82" s="20">
        <f>IFERROR(INDEX(Conversion!$C$2:$C$500,MATCH($A82,Conversion!$B$2:$B$500,0)),"NOT ASSIGNED")</f>
        <v/>
      </c>
      <c r="C82" s="21" t="inlineStr">
        <is>
          <t>Brass "baby" water gun, back trigger, 1/2" male outlet, blue</t>
        </is>
      </c>
      <c r="D82" s="22" t="inlineStr">
        <is>
          <t>Baby WD gun, rear trigger, 1/2" M outlet, blue, brass</t>
        </is>
      </c>
      <c r="E82" s="30" t="n">
        <v>0.65</v>
      </c>
      <c r="F82" s="24" t="inlineStr">
        <is>
          <t>ESTIMATE - not in catalogue; taken as BMBNN01-B</t>
        </is>
      </c>
      <c r="G82" s="25" t="n">
        <v>23.516262</v>
      </c>
      <c r="H82" s="25" t="n">
        <v>20.903344</v>
      </c>
      <c r="I82" s="26" t="n"/>
      <c r="J82" s="27">
        <f>IF(G82="","",G82/$C$5*(1+$C$8)+$E82*(1+$C$7)*$C$6)</f>
        <v/>
      </c>
      <c r="K82" s="27">
        <f>IF(H82="","",H82/$C$5*(1+$C$8)+$E82*(1+$C$7)*$C$6)</f>
        <v/>
      </c>
      <c r="L82" s="27">
        <f>IF(I82="","",I82/$C$5*(1+$C$8)+$E82*(1+$C$7)*$C$6)</f>
        <v/>
      </c>
      <c r="M82" s="28">
        <f>IF(J82="","",ROUND(J82*(1+$C$9),2))</f>
        <v/>
      </c>
      <c r="N82" s="28">
        <f>IF(K82="","",ROUND(K82*(1+$C$9),2))</f>
        <v/>
      </c>
      <c r="O82" s="28">
        <f>IF(L82="","",ROUND(L82*(1+$C$9),2))</f>
        <v/>
      </c>
      <c r="P82" s="29">
        <f>TRIM(IF($B82="NOT ASSIGNED","No NW part no. ","")&amp;IFERROR(IF(INDEX(Conversion!$J$2:$J$500,MATCH($A82,Conversion!$B$2:$B$500,0))="Needs review","Conversion table: needs review. ",""),"")&amp;IF(LEFT($F82,8)="ESTIMATE","Weight estimated. ","")&amp;"")</f>
        <v/>
      </c>
    </row>
    <row r="83">
      <c r="A83" s="19" t="inlineStr">
        <is>
          <t>BMBTA01-B</t>
        </is>
      </c>
      <c r="B83" s="20">
        <f>IFERROR(INDEX(Conversion!$C$2:$C$500,MATCH($A83,Conversion!$B$2:$B$500,0)),"NOT ASSIGNED")</f>
        <v/>
      </c>
      <c r="C83" s="21" t="inlineStr">
        <is>
          <t>Brass "baby" water gun, back trigger, adapter output, blue</t>
        </is>
      </c>
      <c r="D83" s="22" t="inlineStr">
        <is>
          <t>Baby WD gun, rear trigger, adapter outlet, blue, brass</t>
        </is>
      </c>
      <c r="E83" s="30" t="n">
        <v>0.65</v>
      </c>
      <c r="F83" s="24" t="inlineStr">
        <is>
          <t>ESTIMATE - not in catalogue; taken as BMBNN01-B</t>
        </is>
      </c>
      <c r="G83" s="25" t="n">
        <v>23.516262</v>
      </c>
      <c r="H83" s="25" t="n">
        <v>20.903344</v>
      </c>
      <c r="I83" s="26" t="n"/>
      <c r="J83" s="27">
        <f>IF(G83="","",G83/$C$5*(1+$C$8)+$E83*(1+$C$7)*$C$6)</f>
        <v/>
      </c>
      <c r="K83" s="27">
        <f>IF(H83="","",H83/$C$5*(1+$C$8)+$E83*(1+$C$7)*$C$6)</f>
        <v/>
      </c>
      <c r="L83" s="27">
        <f>IF(I83="","",I83/$C$5*(1+$C$8)+$E83*(1+$C$7)*$C$6)</f>
        <v/>
      </c>
      <c r="M83" s="28">
        <f>IF(J83="","",ROUND(J83*(1+$C$9),2))</f>
        <v/>
      </c>
      <c r="N83" s="28">
        <f>IF(K83="","",ROUND(K83*(1+$C$9),2))</f>
        <v/>
      </c>
      <c r="O83" s="28">
        <f>IF(L83="","",ROUND(L83*(1+$C$9),2))</f>
        <v/>
      </c>
      <c r="P83" s="29">
        <f>TRIM(IF($B83="NOT ASSIGNED","No NW part no. ","")&amp;IFERROR(IF(INDEX(Conversion!$J$2:$J$500,MATCH($A83,Conversion!$B$2:$B$500,0))="Needs review","Conversion table: needs review. ",""),"")&amp;IF(LEFT($F83,8)="ESTIMATE","Weight estimated. ","")&amp;"")</f>
        <v/>
      </c>
    </row>
    <row r="84">
      <c r="A84" s="19" t="inlineStr">
        <is>
          <t>BMBTA02-B-V</t>
        </is>
      </c>
      <c r="B84" s="20">
        <f>IFERROR(INDEX(Conversion!$C$2:$C$500,MATCH($A84,Conversion!$B$2:$B$500,0)),"NOT ASSIGNED")</f>
        <v/>
      </c>
      <c r="C84" s="21" t="inlineStr">
        <is>
          <t>Brass "baby" water gun, back trigger, adapter output, viton seals, blue</t>
        </is>
      </c>
      <c r="D84" s="22" t="inlineStr">
        <is>
          <t>Baby WD gun, rear trigger, adapter outlet, Viton seals, blue, brass</t>
        </is>
      </c>
      <c r="E84" s="30" t="n">
        <v>0.65</v>
      </c>
      <c r="F84" s="24" t="inlineStr">
        <is>
          <t>ESTIMATE - not in catalogue; taken as BMBNN01-B</t>
        </is>
      </c>
      <c r="G84" s="25" t="n">
        <v>23.516262</v>
      </c>
      <c r="H84" s="25" t="n">
        <v>20.903344</v>
      </c>
      <c r="I84" s="26" t="n"/>
      <c r="J84" s="27">
        <f>IF(G84="","",G84/$C$5*(1+$C$8)+$E84*(1+$C$7)*$C$6)</f>
        <v/>
      </c>
      <c r="K84" s="27">
        <f>IF(H84="","",H84/$C$5*(1+$C$8)+$E84*(1+$C$7)*$C$6)</f>
        <v/>
      </c>
      <c r="L84" s="27">
        <f>IF(I84="","",I84/$C$5*(1+$C$8)+$E84*(1+$C$7)*$C$6)</f>
        <v/>
      </c>
      <c r="M84" s="28">
        <f>IF(J84="","",ROUND(J84*(1+$C$9),2))</f>
        <v/>
      </c>
      <c r="N84" s="28">
        <f>IF(K84="","",ROUND(K84*(1+$C$9),2))</f>
        <v/>
      </c>
      <c r="O84" s="28">
        <f>IF(L84="","",ROUND(L84*(1+$C$9),2))</f>
        <v/>
      </c>
      <c r="P84" s="29">
        <f>TRIM(IF($B84="NOT ASSIGNED","No NW part no. ","")&amp;IFERROR(IF(INDEX(Conversion!$J$2:$J$500,MATCH($A84,Conversion!$B$2:$B$500,0))="Needs review","Conversion table: needs review. ",""),"")&amp;IF(LEFT($F84,8)="ESTIMATE","Weight estimated. ","")&amp;"")</f>
        <v/>
      </c>
    </row>
    <row r="86">
      <c r="A86" s="14" t="inlineStr">
        <is>
          <t>Other water guns</t>
        </is>
      </c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</row>
    <row r="88">
      <c r="A88" s="16" t="inlineStr">
        <is>
          <t>Qty break</t>
        </is>
      </c>
      <c r="B88" s="17" t="n"/>
      <c r="C88" s="17" t="n"/>
      <c r="D88" s="17" t="n"/>
      <c r="E88" s="17" t="n"/>
      <c r="F88" s="17" t="n"/>
      <c r="G88" s="18" t="inlineStr">
        <is>
          <t>&lt; 10 pcs</t>
        </is>
      </c>
      <c r="H88" s="18" t="inlineStr">
        <is>
          <t>≥ 10 pcs</t>
        </is>
      </c>
      <c r="I88" s="18" t="inlineStr">
        <is>
          <t>≥ 50 pcs</t>
        </is>
      </c>
      <c r="J88" s="18" t="inlineStr">
        <is>
          <t>&lt; 10 pcs</t>
        </is>
      </c>
      <c r="K88" s="18" t="inlineStr">
        <is>
          <t>≥ 10 pcs</t>
        </is>
      </c>
      <c r="L88" s="18" t="inlineStr">
        <is>
          <t>≥ 50 pcs</t>
        </is>
      </c>
      <c r="M88" s="18" t="inlineStr">
        <is>
          <t>&lt; 10 pcs</t>
        </is>
      </c>
      <c r="N88" s="18" t="inlineStr">
        <is>
          <t>≥ 10 pcs</t>
        </is>
      </c>
      <c r="O88" s="18" t="inlineStr">
        <is>
          <t>≥ 50 pcs</t>
        </is>
      </c>
      <c r="P88" s="17" t="n"/>
    </row>
    <row r="89">
      <c r="A89" s="19" t="inlineStr">
        <is>
          <t>AGIL572</t>
        </is>
      </c>
      <c r="B89" s="20">
        <f>IFERROR(INDEX(Conversion!$C$2:$C$500,MATCH($A89,Conversion!$B$2:$B$500,0)),"NOT ASSIGNED")</f>
        <v/>
      </c>
      <c r="C89" s="21" t="inlineStr">
        <is>
          <t>Water nozzle light duty, red</t>
        </is>
      </c>
      <c r="D89" s="22" t="inlineStr">
        <is>
          <t>Spray Gun XS Lite, 3/4" GHT outlet, red, chrome-plated zinc</t>
        </is>
      </c>
      <c r="E89" s="23" t="n">
        <v>0.2</v>
      </c>
      <c r="F89" s="24" t="inlineStr">
        <is>
          <t>Cat p.29</t>
        </is>
      </c>
      <c r="G89" s="25" t="n">
        <v>11.19</v>
      </c>
      <c r="H89" s="26" t="n"/>
      <c r="I89" s="26" t="n"/>
      <c r="J89" s="27">
        <f>IF(G89="","",G89/$C$5*(1+$C$8)+$E89*(1+$C$7)*$C$6)</f>
        <v/>
      </c>
      <c r="K89" s="27">
        <f>IF(H89="","",H89/$C$5*(1+$C$8)+$E89*(1+$C$7)*$C$6)</f>
        <v/>
      </c>
      <c r="L89" s="27">
        <f>IF(I89="","",I89/$C$5*(1+$C$8)+$E89*(1+$C$7)*$C$6)</f>
        <v/>
      </c>
      <c r="M89" s="28">
        <f>IF(J89="","",ROUND(J89*(1+$C$9),2))</f>
        <v/>
      </c>
      <c r="N89" s="28">
        <f>IF(K89="","",ROUND(K89*(1+$C$9),2))</f>
        <v/>
      </c>
      <c r="O89" s="28">
        <f>IF(L89="","",ROUND(L89*(1+$C$9),2))</f>
        <v/>
      </c>
      <c r="P89" s="29">
        <f>TRIM(IF($B89="NOT ASSIGNED","No NW part no. ","")&amp;IFERROR(IF(INDEX(Conversion!$J$2:$J$500,MATCH($A89,Conversion!$B$2:$B$500,0))="Needs review","Conversion table: needs review. ",""),"")&amp;IF(LEFT($F89,8)="ESTIMATE","Weight estimated. ","")&amp;"AKBO note at 3rd break: '48pcs 9,87'")</f>
        <v/>
      </c>
    </row>
    <row r="91">
      <c r="A91" s="19" t="inlineStr">
        <is>
          <t>AKMSH03-B</t>
        </is>
      </c>
      <c r="B91" s="20">
        <f>IFERROR(INDEX(Conversion!$C$2:$C$500,MATCH($A91,Conversion!$B$2:$B$500,0)),"NOT ASSIGNED")</f>
        <v/>
      </c>
      <c r="C91" s="21" t="inlineStr">
        <is>
          <t>Brass spray head black, blue handgrip</t>
        </is>
      </c>
      <c r="D91" s="22" t="inlineStr">
        <is>
          <t>Twistflow WD Nozzle, w/ handle, black head / blue handle, brass</t>
        </is>
      </c>
      <c r="E91" s="23" t="n">
        <v>0.525</v>
      </c>
      <c r="F91" s="24" t="inlineStr">
        <is>
          <t>Cat p.54 (head + brass handle)</t>
        </is>
      </c>
      <c r="G91" s="25" t="n">
        <v>40.971216</v>
      </c>
      <c r="H91" s="25" t="n">
        <v>35.849814</v>
      </c>
      <c r="I91" s="25" t="n">
        <v>33.289113</v>
      </c>
      <c r="J91" s="27">
        <f>IF(G91="","",G91/$C$5*(1+$C$8)+$E91*(1+$C$7)*$C$6)</f>
        <v/>
      </c>
      <c r="K91" s="27">
        <f>IF(H91="","",H91/$C$5*(1+$C$8)+$E91*(1+$C$7)*$C$6)</f>
        <v/>
      </c>
      <c r="L91" s="27">
        <f>IF(I91="","",I91/$C$5*(1+$C$8)+$E91*(1+$C$7)*$C$6)</f>
        <v/>
      </c>
      <c r="M91" s="28">
        <f>IF(J91="","",ROUND(J91*(1+$C$9),2))</f>
        <v/>
      </c>
      <c r="N91" s="28">
        <f>IF(K91="","",ROUND(K91*(1+$C$9),2))</f>
        <v/>
      </c>
      <c r="O91" s="28">
        <f>IF(L91="","",ROUND(L91*(1+$C$9),2))</f>
        <v/>
      </c>
      <c r="P91" s="29">
        <f>TRIM(IF($B91="NOT ASSIGNED","No NW part no. ","")&amp;IFERROR(IF(INDEX(Conversion!$J$2:$J$500,MATCH($A91,Conversion!$B$2:$B$500,0))="Needs review","Conversion table: needs review. ",""),"")&amp;IF(LEFT($F91,8)="ESTIMATE","Weight estimated. ","")&amp;"")</f>
        <v/>
      </c>
    </row>
    <row r="92">
      <c r="A92" s="19" t="inlineStr">
        <is>
          <t>AKMSH03-R</t>
        </is>
      </c>
      <c r="B92" s="20">
        <f>IFERROR(INDEX(Conversion!$C$2:$C$500,MATCH($A92,Conversion!$B$2:$B$500,0)),"NOT ASSIGNED")</f>
        <v/>
      </c>
      <c r="C92" s="21" t="inlineStr">
        <is>
          <t>Brass spray head black, red handgrip</t>
        </is>
      </c>
      <c r="D92" s="22" t="inlineStr">
        <is>
          <t>Twistflow WD Nozzle, w/ handle, black head / red handle, brass</t>
        </is>
      </c>
      <c r="E92" s="23" t="n">
        <v>0.525</v>
      </c>
      <c r="F92" s="24" t="inlineStr">
        <is>
          <t>Cat p.54 (head + brass handle)</t>
        </is>
      </c>
      <c r="G92" s="25" t="n">
        <v>40.971216</v>
      </c>
      <c r="H92" s="25" t="n">
        <v>35.849814</v>
      </c>
      <c r="I92" s="25" t="n">
        <v>33.289113</v>
      </c>
      <c r="J92" s="27">
        <f>IF(G92="","",G92/$C$5*(1+$C$8)+$E92*(1+$C$7)*$C$6)</f>
        <v/>
      </c>
      <c r="K92" s="27">
        <f>IF(H92="","",H92/$C$5*(1+$C$8)+$E92*(1+$C$7)*$C$6)</f>
        <v/>
      </c>
      <c r="L92" s="27">
        <f>IF(I92="","",I92/$C$5*(1+$C$8)+$E92*(1+$C$7)*$C$6)</f>
        <v/>
      </c>
      <c r="M92" s="28">
        <f>IF(J92="","",ROUND(J92*(1+$C$9),2))</f>
        <v/>
      </c>
      <c r="N92" s="28">
        <f>IF(K92="","",ROUND(K92*(1+$C$9),2))</f>
        <v/>
      </c>
      <c r="O92" s="28">
        <f>IF(L92="","",ROUND(L92*(1+$C$9),2))</f>
        <v/>
      </c>
      <c r="P92" s="29">
        <f>TRIM(IF($B92="NOT ASSIGNED","No NW part no. ","")&amp;IFERROR(IF(INDEX(Conversion!$J$2:$J$500,MATCH($A92,Conversion!$B$2:$B$500,0))="Needs review","Conversion table: needs review. ",""),"")&amp;IF(LEFT($F92,8)="ESTIMATE","Weight estimated. ","")&amp;"")</f>
        <v/>
      </c>
    </row>
    <row r="93">
      <c r="A93" s="19" t="inlineStr">
        <is>
          <t>AKMSH03-W</t>
        </is>
      </c>
      <c r="B93" s="20">
        <f>IFERROR(INDEX(Conversion!$C$2:$C$500,MATCH($A93,Conversion!$B$2:$B$500,0)),"NOT ASSIGNED")</f>
        <v/>
      </c>
      <c r="C93" s="21" t="inlineStr">
        <is>
          <t>Brass spray head black, white handgrip</t>
        </is>
      </c>
      <c r="D93" s="22" t="inlineStr">
        <is>
          <t>Twistflow WD Nozzle, w/ handle, black head / white handle, brass</t>
        </is>
      </c>
      <c r="E93" s="23" t="n">
        <v>0.525</v>
      </c>
      <c r="F93" s="24" t="inlineStr">
        <is>
          <t>Cat p.54 (head + brass handle)</t>
        </is>
      </c>
      <c r="G93" s="25" t="n">
        <v>40.971216</v>
      </c>
      <c r="H93" s="25" t="n">
        <v>35.849814</v>
      </c>
      <c r="I93" s="25" t="n">
        <v>33.289113</v>
      </c>
      <c r="J93" s="27">
        <f>IF(G93="","",G93/$C$5*(1+$C$8)+$E93*(1+$C$7)*$C$6)</f>
        <v/>
      </c>
      <c r="K93" s="27">
        <f>IF(H93="","",H93/$C$5*(1+$C$8)+$E93*(1+$C$7)*$C$6)</f>
        <v/>
      </c>
      <c r="L93" s="27">
        <f>IF(I93="","",I93/$C$5*(1+$C$8)+$E93*(1+$C$7)*$C$6)</f>
        <v/>
      </c>
      <c r="M93" s="28">
        <f>IF(J93="","",ROUND(J93*(1+$C$9),2))</f>
        <v/>
      </c>
      <c r="N93" s="28">
        <f>IF(K93="","",ROUND(K93*(1+$C$9),2))</f>
        <v/>
      </c>
      <c r="O93" s="28">
        <f>IF(L93="","",ROUND(L93*(1+$C$9),2))</f>
        <v/>
      </c>
      <c r="P93" s="29">
        <f>TRIM(IF($B93="NOT ASSIGNED","No NW part no. ","")&amp;IFERROR(IF(INDEX(Conversion!$J$2:$J$500,MATCH($A93,Conversion!$B$2:$B$500,0))="Needs review","Conversion table: needs review. ",""),"")&amp;IF(LEFT($F93,8)="ESTIMATE","Weight estimated. ","")&amp;"")</f>
        <v/>
      </c>
    </row>
    <row r="94">
      <c r="A94" s="19" t="inlineStr">
        <is>
          <t>AKMSHH4-BL</t>
        </is>
      </c>
      <c r="B94" s="20">
        <f>IFERROR(INDEX(Conversion!$C$2:$C$500,MATCH($A94,Conversion!$B$2:$B$500,0)),"NOT ASSIGNED")</f>
        <v/>
      </c>
      <c r="C94" s="21" t="inlineStr">
        <is>
          <t>Spray head in brass, black with EPDM &amp; Clipperlon seals</t>
        </is>
      </c>
      <c r="D94" s="22" t="inlineStr">
        <is>
          <t>Twistflow WD Nozzle, head only, 1/2" M, black, brass</t>
        </is>
      </c>
      <c r="E94" s="23" t="n">
        <v>0.2</v>
      </c>
      <c r="F94" s="24" t="inlineStr">
        <is>
          <t>Cat p.54 (head only)</t>
        </is>
      </c>
      <c r="G94" s="25" t="n">
        <v>30.457504</v>
      </c>
      <c r="H94" s="25" t="n">
        <v>26.650316</v>
      </c>
      <c r="I94" s="25" t="n">
        <v>24.746722</v>
      </c>
      <c r="J94" s="27">
        <f>IF(G94="","",G94/$C$5*(1+$C$8)+$E94*(1+$C$7)*$C$6)</f>
        <v/>
      </c>
      <c r="K94" s="27">
        <f>IF(H94="","",H94/$C$5*(1+$C$8)+$E94*(1+$C$7)*$C$6)</f>
        <v/>
      </c>
      <c r="L94" s="27">
        <f>IF(I94="","",I94/$C$5*(1+$C$8)+$E94*(1+$C$7)*$C$6)</f>
        <v/>
      </c>
      <c r="M94" s="28">
        <f>IF(J94="","",ROUND(J94*(1+$C$9),2))</f>
        <v/>
      </c>
      <c r="N94" s="28">
        <f>IF(K94="","",ROUND(K94*(1+$C$9),2))</f>
        <v/>
      </c>
      <c r="O94" s="28">
        <f>IF(L94="","",ROUND(L94*(1+$C$9),2))</f>
        <v/>
      </c>
      <c r="P94" s="29">
        <f>TRIM(IF($B94="NOT ASSIGNED","No NW part no. ","")&amp;IFERROR(IF(INDEX(Conversion!$J$2:$J$500,MATCH($A94,Conversion!$B$2:$B$500,0))="Needs review","Conversion table: needs review. ",""),"")&amp;IF(LEFT($F94,8)="ESTIMATE","Weight estimated. ","")&amp;"")</f>
        <v/>
      </c>
    </row>
    <row r="96">
      <c r="A96" s="19" t="inlineStr">
        <is>
          <t>AKRSH03-B</t>
        </is>
      </c>
      <c r="B96" s="20">
        <f>IFERROR(INDEX(Conversion!$C$2:$C$500,MATCH($A96,Conversion!$B$2:$B$500,0)),"NOT ASSIGNED")</f>
        <v/>
      </c>
      <c r="C96" s="21" t="inlineStr">
        <is>
          <t>St.st. spray head black, blue handgrip</t>
        </is>
      </c>
      <c r="D96" s="22" t="inlineStr">
        <is>
          <t>Twistflow WD Nozzle, w/ handle, black head / blue handle, stainless steel</t>
        </is>
      </c>
      <c r="E96" s="23" t="n">
        <v>0.55</v>
      </c>
      <c r="F96" s="24" t="inlineStr">
        <is>
          <t>Cat p.54 (head + st.st. handle)</t>
        </is>
      </c>
      <c r="G96" s="25" t="n">
        <v>47.117312</v>
      </c>
      <c r="H96" s="25" t="n">
        <v>41.227648</v>
      </c>
      <c r="I96" s="25" t="n">
        <v>38.282816</v>
      </c>
      <c r="J96" s="27">
        <f>IF(G96="","",G96/$C$5*(1+$C$8)+$E96*(1+$C$7)*$C$6)</f>
        <v/>
      </c>
      <c r="K96" s="27">
        <f>IF(H96="","",H96/$C$5*(1+$C$8)+$E96*(1+$C$7)*$C$6)</f>
        <v/>
      </c>
      <c r="L96" s="27">
        <f>IF(I96="","",I96/$C$5*(1+$C$8)+$E96*(1+$C$7)*$C$6)</f>
        <v/>
      </c>
      <c r="M96" s="28">
        <f>IF(J96="","",ROUND(J96*(1+$C$9),2))</f>
        <v/>
      </c>
      <c r="N96" s="28">
        <f>IF(K96="","",ROUND(K96*(1+$C$9),2))</f>
        <v/>
      </c>
      <c r="O96" s="28">
        <f>IF(L96="","",ROUND(L96*(1+$C$9),2))</f>
        <v/>
      </c>
      <c r="P96" s="29">
        <f>TRIM(IF($B96="NOT ASSIGNED","No NW part no. ","")&amp;IFERROR(IF(INDEX(Conversion!$J$2:$J$500,MATCH($A96,Conversion!$B$2:$B$500,0))="Needs review","Conversion table: needs review. ",""),"")&amp;IF(LEFT($F96,8)="ESTIMATE","Weight estimated. ","")&amp;"")</f>
        <v/>
      </c>
    </row>
    <row r="97">
      <c r="A97" s="19" t="inlineStr">
        <is>
          <t>AKRSH03-R</t>
        </is>
      </c>
      <c r="B97" s="20">
        <f>IFERROR(INDEX(Conversion!$C$2:$C$500,MATCH($A97,Conversion!$B$2:$B$500,0)),"NOT ASSIGNED")</f>
        <v/>
      </c>
      <c r="C97" s="21" t="inlineStr">
        <is>
          <t>St.st. spray head black, red handgrip</t>
        </is>
      </c>
      <c r="D97" s="22" t="inlineStr">
        <is>
          <t>Twistflow WD Nozzle, w/ handle, black head / red handle, stainless steel</t>
        </is>
      </c>
      <c r="E97" s="23" t="n">
        <v>0.55</v>
      </c>
      <c r="F97" s="24" t="inlineStr">
        <is>
          <t>Cat p.54 (head + st.st. handle)</t>
        </is>
      </c>
      <c r="G97" s="25" t="n">
        <v>47.117312</v>
      </c>
      <c r="H97" s="25" t="n">
        <v>41.227648</v>
      </c>
      <c r="I97" s="25" t="n">
        <v>38.282816</v>
      </c>
      <c r="J97" s="27">
        <f>IF(G97="","",G97/$C$5*(1+$C$8)+$E97*(1+$C$7)*$C$6)</f>
        <v/>
      </c>
      <c r="K97" s="27">
        <f>IF(H97="","",H97/$C$5*(1+$C$8)+$E97*(1+$C$7)*$C$6)</f>
        <v/>
      </c>
      <c r="L97" s="27">
        <f>IF(I97="","",I97/$C$5*(1+$C$8)+$E97*(1+$C$7)*$C$6)</f>
        <v/>
      </c>
      <c r="M97" s="28">
        <f>IF(J97="","",ROUND(J97*(1+$C$9),2))</f>
        <v/>
      </c>
      <c r="N97" s="28">
        <f>IF(K97="","",ROUND(K97*(1+$C$9),2))</f>
        <v/>
      </c>
      <c r="O97" s="28">
        <f>IF(L97="","",ROUND(L97*(1+$C$9),2))</f>
        <v/>
      </c>
      <c r="P97" s="29">
        <f>TRIM(IF($B97="NOT ASSIGNED","No NW part no. ","")&amp;IFERROR(IF(INDEX(Conversion!$J$2:$J$500,MATCH($A97,Conversion!$B$2:$B$500,0))="Needs review","Conversion table: needs review. ",""),"")&amp;IF(LEFT($F97,8)="ESTIMATE","Weight estimated. ","")&amp;"")</f>
        <v/>
      </c>
    </row>
    <row r="98">
      <c r="A98" s="19" t="inlineStr">
        <is>
          <t>AKRSH03-W</t>
        </is>
      </c>
      <c r="B98" s="20">
        <f>IFERROR(INDEX(Conversion!$C$2:$C$500,MATCH($A98,Conversion!$B$2:$B$500,0)),"NOT ASSIGNED")</f>
        <v/>
      </c>
      <c r="C98" s="21" t="inlineStr">
        <is>
          <t>St.st. spray head black, white handgrip</t>
        </is>
      </c>
      <c r="D98" s="22" t="inlineStr">
        <is>
          <t>Twistflow WD Nozzle, w/ handle, black head / white handle, stainless steel</t>
        </is>
      </c>
      <c r="E98" s="23" t="n">
        <v>0.55</v>
      </c>
      <c r="F98" s="24" t="inlineStr">
        <is>
          <t>Cat p.54 (head + st.st. handle)</t>
        </is>
      </c>
      <c r="G98" s="25" t="n">
        <v>47.117312</v>
      </c>
      <c r="H98" s="25" t="n">
        <v>41.227648</v>
      </c>
      <c r="I98" s="25" t="n">
        <v>38.282816</v>
      </c>
      <c r="J98" s="27">
        <f>IF(G98="","",G98/$C$5*(1+$C$8)+$E98*(1+$C$7)*$C$6)</f>
        <v/>
      </c>
      <c r="K98" s="27">
        <f>IF(H98="","",H98/$C$5*(1+$C$8)+$E98*(1+$C$7)*$C$6)</f>
        <v/>
      </c>
      <c r="L98" s="27">
        <f>IF(I98="","",I98/$C$5*(1+$C$8)+$E98*(1+$C$7)*$C$6)</f>
        <v/>
      </c>
      <c r="M98" s="28">
        <f>IF(J98="","",ROUND(J98*(1+$C$9),2))</f>
        <v/>
      </c>
      <c r="N98" s="28">
        <f>IF(K98="","",ROUND(K98*(1+$C$9),2))</f>
        <v/>
      </c>
      <c r="O98" s="28">
        <f>IF(L98="","",ROUND(L98*(1+$C$9),2))</f>
        <v/>
      </c>
      <c r="P98" s="29">
        <f>TRIM(IF($B98="NOT ASSIGNED","No NW part no. ","")&amp;IFERROR(IF(INDEX(Conversion!$J$2:$J$500,MATCH($A98,Conversion!$B$2:$B$500,0))="Needs review","Conversion table: needs review. ",""),"")&amp;IF(LEFT($F98,8)="ESTIMATE","Weight estimated. ","")&amp;"")</f>
        <v/>
      </c>
    </row>
    <row r="99">
      <c r="A99" s="19" t="inlineStr">
        <is>
          <t>AKRSHW3-W</t>
        </is>
      </c>
      <c r="B99" s="20">
        <f>IFERROR(INDEX(Conversion!$C$2:$C$500,MATCH($A99,Conversion!$B$2:$B$500,0)),"NOT ASSIGNED")</f>
        <v/>
      </c>
      <c r="C99" s="21" t="inlineStr">
        <is>
          <t>St.st. spray head white, white handgrip</t>
        </is>
      </c>
      <c r="D99" s="22" t="inlineStr">
        <is>
          <t>Twistflow WD Nozzle, w/ handle, white head / white handle, stainless steel</t>
        </is>
      </c>
      <c r="E99" s="23" t="n">
        <v>0.55</v>
      </c>
      <c r="F99" s="24" t="inlineStr">
        <is>
          <t>Cat p.54 (head + st.st. handle)</t>
        </is>
      </c>
      <c r="G99" s="25" t="n">
        <v>48.134768</v>
      </c>
      <c r="H99" s="25" t="n">
        <v>42.117922</v>
      </c>
      <c r="I99" s="25" t="n">
        <v>39.109499</v>
      </c>
      <c r="J99" s="27">
        <f>IF(G99="","",G99/$C$5*(1+$C$8)+$E99*(1+$C$7)*$C$6)</f>
        <v/>
      </c>
      <c r="K99" s="27">
        <f>IF(H99="","",H99/$C$5*(1+$C$8)+$E99*(1+$C$7)*$C$6)</f>
        <v/>
      </c>
      <c r="L99" s="27">
        <f>IF(I99="","",I99/$C$5*(1+$C$8)+$E99*(1+$C$7)*$C$6)</f>
        <v/>
      </c>
      <c r="M99" s="28">
        <f>IF(J99="","",ROUND(J99*(1+$C$9),2))</f>
        <v/>
      </c>
      <c r="N99" s="28">
        <f>IF(K99="","",ROUND(K99*(1+$C$9),2))</f>
        <v/>
      </c>
      <c r="O99" s="28">
        <f>IF(L99="","",ROUND(L99*(1+$C$9),2))</f>
        <v/>
      </c>
      <c r="P99" s="29">
        <f>TRIM(IF($B99="NOT ASSIGNED","No NW part no. ","")&amp;IFERROR(IF(INDEX(Conversion!$J$2:$J$500,MATCH($A99,Conversion!$B$2:$B$500,0))="Needs review","Conversion table: needs review. ",""),"")&amp;IF(LEFT($F99,8)="ESTIMATE","Weight estimated. ","")&amp;"")</f>
        <v/>
      </c>
    </row>
    <row r="100">
      <c r="A100" s="19" t="inlineStr">
        <is>
          <t>AKRSHH4-BL</t>
        </is>
      </c>
      <c r="B100" s="20">
        <f>IFERROR(INDEX(Conversion!$C$2:$C$500,MATCH($A100,Conversion!$B$2:$B$500,0)),"NOT ASSIGNED")</f>
        <v/>
      </c>
      <c r="C100" s="21" t="inlineStr">
        <is>
          <t>Spray head in stainless steel, black with EPDM &amp; Clipperlon seals</t>
        </is>
      </c>
      <c r="D100" s="22" t="inlineStr">
        <is>
          <t>Twistflow WD Nozzle, head only, 1/2" M, black, stainless steel</t>
        </is>
      </c>
      <c r="E100" s="23" t="n">
        <v>0.2</v>
      </c>
      <c r="F100" s="24" t="inlineStr">
        <is>
          <t>Cat p.54 (head only)</t>
        </is>
      </c>
      <c r="G100" s="25" t="n">
        <v>36.553968</v>
      </c>
      <c r="H100" s="25" t="n">
        <v>31.984722</v>
      </c>
      <c r="I100" s="25" t="n">
        <v>29.700099</v>
      </c>
      <c r="J100" s="27">
        <f>IF(G100="","",G100/$C$5*(1+$C$8)+$E100*(1+$C$7)*$C$6)</f>
        <v/>
      </c>
      <c r="K100" s="27">
        <f>IF(H100="","",H100/$C$5*(1+$C$8)+$E100*(1+$C$7)*$C$6)</f>
        <v/>
      </c>
      <c r="L100" s="27">
        <f>IF(I100="","",I100/$C$5*(1+$C$8)+$E100*(1+$C$7)*$C$6)</f>
        <v/>
      </c>
      <c r="M100" s="28">
        <f>IF(J100="","",ROUND(J100*(1+$C$9),2))</f>
        <v/>
      </c>
      <c r="N100" s="28">
        <f>IF(K100="","",ROUND(K100*(1+$C$9),2))</f>
        <v/>
      </c>
      <c r="O100" s="28">
        <f>IF(L100="","",ROUND(L100*(1+$C$9),2))</f>
        <v/>
      </c>
      <c r="P100" s="29">
        <f>TRIM(IF($B100="NOT ASSIGNED","No NW part no. ","")&amp;IFERROR(IF(INDEX(Conversion!$J$2:$J$500,MATCH($A100,Conversion!$B$2:$B$500,0))="Needs review","Conversion table: needs review. ",""),"")&amp;IF(LEFT($F100,8)="ESTIMATE","Weight estimated. ","")&amp;"")</f>
        <v/>
      </c>
    </row>
    <row r="101">
      <c r="A101" s="19" t="inlineStr">
        <is>
          <t>AKRSHH4-W</t>
        </is>
      </c>
      <c r="B101" s="20">
        <f>IFERROR(INDEX(Conversion!$C$2:$C$500,MATCH($A101,Conversion!$B$2:$B$500,0)),"NOT ASSIGNED")</f>
        <v/>
      </c>
      <c r="C101" s="21" t="inlineStr">
        <is>
          <t>Spray head in stainless steel, white with EPDM &amp; Clipperlon seals</t>
        </is>
      </c>
      <c r="D101" s="22" t="inlineStr">
        <is>
          <t>Twistflow WD Nozzle, head only, 1/2" M, white, stainless steel</t>
        </is>
      </c>
      <c r="E101" s="23" t="n">
        <v>0.2</v>
      </c>
      <c r="F101" s="24" t="inlineStr">
        <is>
          <t>Cat p.54 (head only)</t>
        </is>
      </c>
      <c r="G101" s="25" t="n">
        <v>37.621056</v>
      </c>
      <c r="H101" s="25" t="n">
        <v>32.918424</v>
      </c>
      <c r="I101" s="25" t="n">
        <v>30.567108</v>
      </c>
      <c r="J101" s="27">
        <f>IF(G101="","",G101/$C$5*(1+$C$8)+$E101*(1+$C$7)*$C$6)</f>
        <v/>
      </c>
      <c r="K101" s="27">
        <f>IF(H101="","",H101/$C$5*(1+$C$8)+$E101*(1+$C$7)*$C$6)</f>
        <v/>
      </c>
      <c r="L101" s="27">
        <f>IF(I101="","",I101/$C$5*(1+$C$8)+$E101*(1+$C$7)*$C$6)</f>
        <v/>
      </c>
      <c r="M101" s="28">
        <f>IF(J101="","",ROUND(J101*(1+$C$9),2))</f>
        <v/>
      </c>
      <c r="N101" s="28">
        <f>IF(K101="","",ROUND(K101*(1+$C$9),2))</f>
        <v/>
      </c>
      <c r="O101" s="28">
        <f>IF(L101="","",ROUND(L101*(1+$C$9),2))</f>
        <v/>
      </c>
      <c r="P101" s="29">
        <f>TRIM(IF($B101="NOT ASSIGNED","No NW part no. ","")&amp;IFERROR(IF(INDEX(Conversion!$J$2:$J$500,MATCH($A101,Conversion!$B$2:$B$500,0))="Needs review","Conversion table: needs review. ",""),"")&amp;IF(LEFT($F101,8)="ESTIMATE","Weight estimated. ","")&amp;"")</f>
        <v/>
      </c>
    </row>
    <row r="103">
      <c r="A103" s="19" t="inlineStr">
        <is>
          <t>AKNSH01-B</t>
        </is>
      </c>
      <c r="B103" s="20">
        <f>IFERROR(INDEX(Conversion!$C$2:$C$500,MATCH($A103,Conversion!$B$2:$B$500,0)),"NOT ASSIGNED")</f>
        <v/>
      </c>
      <c r="C103" s="21" t="inlineStr">
        <is>
          <t>Light weight spray head, blue, 3/4" BSP male</t>
        </is>
      </c>
      <c r="D103" s="22" t="inlineStr">
        <is>
          <t>Twistflow-L Lite nozzle, 3/4" M, blue, polypropylene</t>
        </is>
      </c>
      <c r="E103" s="23" t="n">
        <v>0.245</v>
      </c>
      <c r="F103" s="24" t="inlineStr">
        <is>
          <t>Cat p.56</t>
        </is>
      </c>
      <c r="G103" s="25" t="n">
        <v>29.067808</v>
      </c>
      <c r="H103" s="25" t="n">
        <v>25.434332</v>
      </c>
      <c r="I103" s="25" t="n">
        <v>23.617594</v>
      </c>
      <c r="J103" s="27">
        <f>IF(G103="","",G103/$C$5*(1+$C$8)+$E103*(1+$C$7)*$C$6)</f>
        <v/>
      </c>
      <c r="K103" s="27">
        <f>IF(H103="","",H103/$C$5*(1+$C$8)+$E103*(1+$C$7)*$C$6)</f>
        <v/>
      </c>
      <c r="L103" s="27">
        <f>IF(I103="","",I103/$C$5*(1+$C$8)+$E103*(1+$C$7)*$C$6)</f>
        <v/>
      </c>
      <c r="M103" s="28">
        <f>IF(J103="","",ROUND(J103*(1+$C$9),2))</f>
        <v/>
      </c>
      <c r="N103" s="28">
        <f>IF(K103="","",ROUND(K103*(1+$C$9),2))</f>
        <v/>
      </c>
      <c r="O103" s="28">
        <f>IF(L103="","",ROUND(L103*(1+$C$9),2))</f>
        <v/>
      </c>
      <c r="P103" s="29">
        <f>TRIM(IF($B103="NOT ASSIGNED","No NW part no. ","")&amp;IFERROR(IF(INDEX(Conversion!$J$2:$J$500,MATCH($A103,Conversion!$B$2:$B$500,0))="Needs review","Conversion table: needs review. ",""),"")&amp;IF(LEFT($F103,8)="ESTIMATE","Weight estimated. ","")&amp;"")</f>
        <v/>
      </c>
    </row>
    <row r="105">
      <c r="A105" s="19" t="inlineStr">
        <is>
          <t>AKMSHHL1-BL</t>
        </is>
      </c>
      <c r="B105" s="20">
        <f>IFERROR(INDEX(Conversion!$C$2:$C$500,MATCH($A105,Conversion!$B$2:$B$500,0)),"NOT ASSIGNED")</f>
        <v/>
      </c>
      <c r="C105" s="21" t="inlineStr">
        <is>
          <t>Brass water saving spray head, black</t>
        </is>
      </c>
      <c r="D105" s="22" t="inlineStr">
        <is>
          <t>Twistflow Lite WD Nozzle, head only, 1/2" M, black, brass</t>
        </is>
      </c>
      <c r="E105" s="30" t="n">
        <v>0.21</v>
      </c>
      <c r="F105" s="24" t="inlineStr">
        <is>
          <t>ESTIMATE - AKMSHL1-B 510 g less GRIPML1-B 300 g (p.53/55)</t>
        </is>
      </c>
      <c r="G105" s="25" t="n">
        <v>19.513648</v>
      </c>
      <c r="H105" s="25" t="n">
        <v>17.074442</v>
      </c>
      <c r="I105" s="25" t="n">
        <v>15.854839</v>
      </c>
      <c r="J105" s="27">
        <f>IF(G105="","",G105/$C$5*(1+$C$8)+$E105*(1+$C$7)*$C$6)</f>
        <v/>
      </c>
      <c r="K105" s="27">
        <f>IF(H105="","",H105/$C$5*(1+$C$8)+$E105*(1+$C$7)*$C$6)</f>
        <v/>
      </c>
      <c r="L105" s="27">
        <f>IF(I105="","",I105/$C$5*(1+$C$8)+$E105*(1+$C$7)*$C$6)</f>
        <v/>
      </c>
      <c r="M105" s="28">
        <f>IF(J105="","",ROUND(J105*(1+$C$9),2))</f>
        <v/>
      </c>
      <c r="N105" s="28">
        <f>IF(K105="","",ROUND(K105*(1+$C$9),2))</f>
        <v/>
      </c>
      <c r="O105" s="28">
        <f>IF(L105="","",ROUND(L105*(1+$C$9),2))</f>
        <v/>
      </c>
      <c r="P105" s="29">
        <f>TRIM(IF($B105="NOT ASSIGNED","No NW part no. ","")&amp;IFERROR(IF(INDEX(Conversion!$J$2:$J$500,MATCH($A105,Conversion!$B$2:$B$500,0))="Needs review","Conversion table: needs review. ",""),"")&amp;IF(LEFT($F105,8)="ESTIMATE","Weight estimated. ","")&amp;"")</f>
        <v/>
      </c>
    </row>
    <row r="106">
      <c r="A106" s="19" t="inlineStr">
        <is>
          <t>AKMSHL1-B</t>
        </is>
      </c>
      <c r="B106" s="20">
        <f>IFERROR(INDEX(Conversion!$C$2:$C$500,MATCH($A106,Conversion!$B$2:$B$500,0)),"NOT ASSIGNED")</f>
        <v/>
      </c>
      <c r="C106" s="21" t="inlineStr">
        <is>
          <t>Brass water saving spray head with handgrip, blue</t>
        </is>
      </c>
      <c r="D106" s="22" t="inlineStr">
        <is>
          <t>Twistflow Lite WD Nozzle, w/ handle, blue, brass</t>
        </is>
      </c>
      <c r="E106" s="23" t="n">
        <v>0.51</v>
      </c>
      <c r="F106" s="24" t="inlineStr">
        <is>
          <t>Cat p.53</t>
        </is>
      </c>
      <c r="G106" s="25" t="n">
        <v>31.6404</v>
      </c>
      <c r="H106" s="25" t="n">
        <v>27.68535</v>
      </c>
      <c r="I106" s="25" t="n">
        <v>25.707825</v>
      </c>
      <c r="J106" s="27">
        <f>IF(G106="","",G106/$C$5*(1+$C$8)+$E106*(1+$C$7)*$C$6)</f>
        <v/>
      </c>
      <c r="K106" s="27">
        <f>IF(H106="","",H106/$C$5*(1+$C$8)+$E106*(1+$C$7)*$C$6)</f>
        <v/>
      </c>
      <c r="L106" s="27">
        <f>IF(I106="","",I106/$C$5*(1+$C$8)+$E106*(1+$C$7)*$C$6)</f>
        <v/>
      </c>
      <c r="M106" s="28">
        <f>IF(J106="","",ROUND(J106*(1+$C$9),2))</f>
        <v/>
      </c>
      <c r="N106" s="28">
        <f>IF(K106="","",ROUND(K106*(1+$C$9),2))</f>
        <v/>
      </c>
      <c r="O106" s="28">
        <f>IF(L106="","",ROUND(L106*(1+$C$9),2))</f>
        <v/>
      </c>
      <c r="P106" s="29">
        <f>TRIM(IF($B106="NOT ASSIGNED","No NW part no. ","")&amp;IFERROR(IF(INDEX(Conversion!$J$2:$J$500,MATCH($A106,Conversion!$B$2:$B$500,0))="Needs review","Conversion table: needs review. ",""),"")&amp;IF(LEFT($F106,8)="ESTIMATE","Weight estimated. ","")&amp;"")</f>
        <v/>
      </c>
    </row>
    <row r="107">
      <c r="A107" s="19" t="inlineStr">
        <is>
          <t>AKRSHHL1-BL</t>
        </is>
      </c>
      <c r="B107" s="20">
        <f>IFERROR(INDEX(Conversion!$C$2:$C$500,MATCH($A107,Conversion!$B$2:$B$500,0)),"NOT ASSIGNED")</f>
        <v/>
      </c>
      <c r="C107" s="21" t="inlineStr">
        <is>
          <t>St. st. water saving spray head, black</t>
        </is>
      </c>
      <c r="D107" s="22" t="inlineStr">
        <is>
          <t>Twistflow Lite WD Nozzle, head only, 1/2" M, black, stainless steel 304</t>
        </is>
      </c>
      <c r="E107" s="30" t="n">
        <v>0.21</v>
      </c>
      <c r="F107" s="24" t="inlineStr">
        <is>
          <t>ESTIMATE - AKRSHL1-B 550 g less GRIPRL1-B 340 g (p.53/55)</t>
        </is>
      </c>
      <c r="G107" s="25" t="n">
        <v>31.954736</v>
      </c>
      <c r="H107" s="25" t="n">
        <v>27.960394</v>
      </c>
      <c r="I107" s="25" t="n">
        <v>25.963223</v>
      </c>
      <c r="J107" s="27">
        <f>IF(G107="","",G107/$C$5*(1+$C$8)+$E107*(1+$C$7)*$C$6)</f>
        <v/>
      </c>
      <c r="K107" s="27">
        <f>IF(H107="","",H107/$C$5*(1+$C$8)+$E107*(1+$C$7)*$C$6)</f>
        <v/>
      </c>
      <c r="L107" s="27">
        <f>IF(I107="","",I107/$C$5*(1+$C$8)+$E107*(1+$C$7)*$C$6)</f>
        <v/>
      </c>
      <c r="M107" s="28">
        <f>IF(J107="","",ROUND(J107*(1+$C$9),2))</f>
        <v/>
      </c>
      <c r="N107" s="28">
        <f>IF(K107="","",ROUND(K107*(1+$C$9),2))</f>
        <v/>
      </c>
      <c r="O107" s="28">
        <f>IF(L107="","",ROUND(L107*(1+$C$9),2))</f>
        <v/>
      </c>
      <c r="P107" s="29">
        <f>TRIM(IF($B107="NOT ASSIGNED","No NW part no. ","")&amp;IFERROR(IF(INDEX(Conversion!$J$2:$J$500,MATCH($A107,Conversion!$B$2:$B$500,0))="Needs review","Conversion table: needs review. ",""),"")&amp;IF(LEFT($F107,8)="ESTIMATE","Weight estimated. ","")&amp;"")</f>
        <v/>
      </c>
    </row>
    <row r="108">
      <c r="A108" s="19" t="inlineStr">
        <is>
          <t>AKRSHL1-B</t>
        </is>
      </c>
      <c r="B108" s="20">
        <f>IFERROR(INDEX(Conversion!$C$2:$C$500,MATCH($A108,Conversion!$B$2:$B$500,0)),"NOT ASSIGNED")</f>
        <v/>
      </c>
      <c r="C108" s="21" t="inlineStr">
        <is>
          <t>St. st. water saving spray head with handgrip, blue</t>
        </is>
      </c>
      <c r="D108" s="22" t="inlineStr">
        <is>
          <t>Twistflow Lite WD Nozzle, w/ handle, blue, stainless steel 304</t>
        </is>
      </c>
      <c r="E108" s="23" t="n">
        <v>0.55</v>
      </c>
      <c r="F108" s="24" t="inlineStr">
        <is>
          <t>Cat p.53</t>
        </is>
      </c>
      <c r="G108" s="25" t="n">
        <v>41.996944</v>
      </c>
      <c r="H108" s="25" t="n">
        <v>36.747326</v>
      </c>
      <c r="I108" s="25" t="n">
        <v>34.122517</v>
      </c>
      <c r="J108" s="27">
        <f>IF(G108="","",G108/$C$5*(1+$C$8)+$E108*(1+$C$7)*$C$6)</f>
        <v/>
      </c>
      <c r="K108" s="27">
        <f>IF(H108="","",H108/$C$5*(1+$C$8)+$E108*(1+$C$7)*$C$6)</f>
        <v/>
      </c>
      <c r="L108" s="27">
        <f>IF(I108="","",I108/$C$5*(1+$C$8)+$E108*(1+$C$7)*$C$6)</f>
        <v/>
      </c>
      <c r="M108" s="28">
        <f>IF(J108="","",ROUND(J108*(1+$C$9),2))</f>
        <v/>
      </c>
      <c r="N108" s="28">
        <f>IF(K108="","",ROUND(K108*(1+$C$9),2))</f>
        <v/>
      </c>
      <c r="O108" s="28">
        <f>IF(L108="","",ROUND(L108*(1+$C$9),2))</f>
        <v/>
      </c>
      <c r="P108" s="29">
        <f>TRIM(IF($B108="NOT ASSIGNED","No NW part no. ","")&amp;IFERROR(IF(INDEX(Conversion!$J$2:$J$500,MATCH($A108,Conversion!$B$2:$B$500,0))="Needs review","Conversion table: needs review. ",""),"")&amp;IF(LEFT($F108,8)="ESTIMATE","Weight estimated. ","")&amp;"")</f>
        <v/>
      </c>
    </row>
    <row r="109">
      <c r="A109" s="19" t="inlineStr">
        <is>
          <t>AKRSHL1-W</t>
        </is>
      </c>
      <c r="B109" s="20">
        <f>IFERROR(INDEX(Conversion!$C$2:$C$500,MATCH($A109,Conversion!$B$2:$B$500,0)),"NOT ASSIGNED")</f>
        <v/>
      </c>
      <c r="C109" s="21" t="inlineStr">
        <is>
          <t>St. st. water saving spray head with handgrip, white</t>
        </is>
      </c>
      <c r="D109" s="22" t="inlineStr">
        <is>
          <t>Twistflow Lite WD Nozzle, w/ handle, white, stainless steel 304</t>
        </is>
      </c>
      <c r="E109" s="23" t="n">
        <v>0.55</v>
      </c>
      <c r="F109" s="24" t="inlineStr">
        <is>
          <t>Cat p.53 (as AKRSHL1-B)</t>
        </is>
      </c>
      <c r="G109" s="25" t="n">
        <v>41.996944</v>
      </c>
      <c r="H109" s="25" t="n">
        <v>36.747326</v>
      </c>
      <c r="I109" s="25" t="n">
        <v>34.122517</v>
      </c>
      <c r="J109" s="27">
        <f>IF(G109="","",G109/$C$5*(1+$C$8)+$E109*(1+$C$7)*$C$6)</f>
        <v/>
      </c>
      <c r="K109" s="27">
        <f>IF(H109="","",H109/$C$5*(1+$C$8)+$E109*(1+$C$7)*$C$6)</f>
        <v/>
      </c>
      <c r="L109" s="27">
        <f>IF(I109="","",I109/$C$5*(1+$C$8)+$E109*(1+$C$7)*$C$6)</f>
        <v/>
      </c>
      <c r="M109" s="28">
        <f>IF(J109="","",ROUND(J109*(1+$C$9),2))</f>
        <v/>
      </c>
      <c r="N109" s="28">
        <f>IF(K109="","",ROUND(K109*(1+$C$9),2))</f>
        <v/>
      </c>
      <c r="O109" s="28">
        <f>IF(L109="","",ROUND(L109*(1+$C$9),2))</f>
        <v/>
      </c>
      <c r="P109" s="29">
        <f>TRIM(IF($B109="NOT ASSIGNED","No NW part no. ","")&amp;IFERROR(IF(INDEX(Conversion!$J$2:$J$500,MATCH($A109,Conversion!$B$2:$B$500,0))="Needs review","Conversion table: needs review. ",""),"")&amp;IF(LEFT($F109,8)="ESTIMATE","Weight estimated. ","")&amp;"")</f>
        <v/>
      </c>
    </row>
    <row r="111">
      <c r="A111" s="19" t="inlineStr">
        <is>
          <t>TWRWR02M</t>
        </is>
      </c>
      <c r="B111" s="20">
        <f>IFERROR(INDEX(Conversion!$C$2:$C$500,MATCH($A111,Conversion!$B$2:$B$500,0)),"NOT ASSIGNED")</f>
        <v/>
      </c>
      <c r="C111" s="21" t="inlineStr">
        <is>
          <t>St. st. industrial spray head Twister M, white with red protection, inlet 1/2" BSP male</t>
        </is>
      </c>
      <c r="D111" s="22" t="inlineStr">
        <is>
          <t>Twistflow M WD Nozzle, 1/2" BSPP M, 60° cone, white / red guard, stainless steel 304</t>
        </is>
      </c>
      <c r="E111" s="23" t="n">
        <v>0.345</v>
      </c>
      <c r="F111" s="24" t="inlineStr">
        <is>
          <t>Cat p.57</t>
        </is>
      </c>
      <c r="G111" s="25" t="n">
        <v>47.307568</v>
      </c>
      <c r="H111" s="25" t="n">
        <v>41.394122</v>
      </c>
      <c r="I111" s="25" t="n">
        <v>38.437399</v>
      </c>
      <c r="J111" s="27">
        <f>IF(G111="","",G111/$C$5*(1+$C$8)+$E111*(1+$C$7)*$C$6)</f>
        <v/>
      </c>
      <c r="K111" s="27">
        <f>IF(H111="","",H111/$C$5*(1+$C$8)+$E111*(1+$C$7)*$C$6)</f>
        <v/>
      </c>
      <c r="L111" s="27">
        <f>IF(I111="","",I111/$C$5*(1+$C$8)+$E111*(1+$C$7)*$C$6)</f>
        <v/>
      </c>
      <c r="M111" s="28">
        <f>IF(J111="","",ROUND(J111*(1+$C$9),2))</f>
        <v/>
      </c>
      <c r="N111" s="28">
        <f>IF(K111="","",ROUND(K111*(1+$C$9),2))</f>
        <v/>
      </c>
      <c r="O111" s="28">
        <f>IF(L111="","",ROUND(L111*(1+$C$9),2))</f>
        <v/>
      </c>
      <c r="P111" s="29">
        <f>TRIM(IF($B111="NOT ASSIGNED","No NW part no. ","")&amp;IFERROR(IF(INDEX(Conversion!$J$2:$J$500,MATCH($A111,Conversion!$B$2:$B$500,0))="Needs review","Conversion table: needs review. ",""),"")&amp;IF(LEFT($F111,8)="ESTIMATE","Weight estimated. ","")&amp;"")</f>
        <v/>
      </c>
    </row>
    <row r="112">
      <c r="A112" s="19" t="inlineStr">
        <is>
          <t>TWRWR02L</t>
        </is>
      </c>
      <c r="B112" s="20">
        <f>IFERROR(INDEX(Conversion!$C$2:$C$500,MATCH($A112,Conversion!$B$2:$B$500,0)),"NOT ASSIGNED")</f>
        <v/>
      </c>
      <c r="C112" s="21" t="inlineStr">
        <is>
          <t>St. st. industrial spray head Twister L, white with red protection, inlet 3/4" BSP male</t>
        </is>
      </c>
      <c r="D112" s="22" t="inlineStr">
        <is>
          <t>Twistflow L WD Nozzle, 3/4" BSPP M, 60° cone, white / red guard, stainless steel 304</t>
        </is>
      </c>
      <c r="E112" s="23" t="n">
        <v>0.48</v>
      </c>
      <c r="F112" s="24" t="inlineStr">
        <is>
          <t>Cat p.57</t>
        </is>
      </c>
      <c r="G112" s="25" t="n">
        <v>56.406768</v>
      </c>
      <c r="H112" s="25" t="n">
        <v>49.355922</v>
      </c>
      <c r="I112" s="25" t="n">
        <v>45.830499</v>
      </c>
      <c r="J112" s="27">
        <f>IF(G112="","",G112/$C$5*(1+$C$8)+$E112*(1+$C$7)*$C$6)</f>
        <v/>
      </c>
      <c r="K112" s="27">
        <f>IF(H112="","",H112/$C$5*(1+$C$8)+$E112*(1+$C$7)*$C$6)</f>
        <v/>
      </c>
      <c r="L112" s="27">
        <f>IF(I112="","",I112/$C$5*(1+$C$8)+$E112*(1+$C$7)*$C$6)</f>
        <v/>
      </c>
      <c r="M112" s="28">
        <f>IF(J112="","",ROUND(J112*(1+$C$9),2))</f>
        <v/>
      </c>
      <c r="N112" s="28">
        <f>IF(K112="","",ROUND(K112*(1+$C$9),2))</f>
        <v/>
      </c>
      <c r="O112" s="28">
        <f>IF(L112="","",ROUND(L112*(1+$C$9),2))</f>
        <v/>
      </c>
      <c r="P112" s="29">
        <f>TRIM(IF($B112="NOT ASSIGNED","No NW part no. ","")&amp;IFERROR(IF(INDEX(Conversion!$J$2:$J$500,MATCH($A112,Conversion!$B$2:$B$500,0))="Needs review","Conversion table: needs review. ",""),"")&amp;IF(LEFT($F112,8)="ESTIMATE","Weight estimated. ","")&amp;"")</f>
        <v/>
      </c>
    </row>
    <row r="113">
      <c r="A113" s="19" t="inlineStr">
        <is>
          <t>TWRWR02XL</t>
        </is>
      </c>
      <c r="B113" s="20">
        <f>IFERROR(INDEX(Conversion!$C$2:$C$500,MATCH($A113,Conversion!$B$2:$B$500,0)),"NOT ASSIGNED")</f>
        <v/>
      </c>
      <c r="C113" s="21" t="inlineStr">
        <is>
          <t>St. st. industrial spray head Twister XL, white with red protection, inlet 1" BSP male</t>
        </is>
      </c>
      <c r="D113" s="22" t="inlineStr">
        <is>
          <t>Twistflow XL WD Nozzle, 1" BSPP M, 60° cone, white / red guard, stainless steel 304</t>
        </is>
      </c>
      <c r="E113" s="23" t="n">
        <v>0.8</v>
      </c>
      <c r="F113" s="24" t="inlineStr">
        <is>
          <t>Cat p.57</t>
        </is>
      </c>
      <c r="G113" s="25" t="n">
        <v>60.046448</v>
      </c>
      <c r="H113" s="25" t="n">
        <v>52.540642</v>
      </c>
      <c r="I113" s="25" t="n">
        <v>48.787739</v>
      </c>
      <c r="J113" s="27">
        <f>IF(G113="","",G113/$C$5*(1+$C$8)+$E113*(1+$C$7)*$C$6)</f>
        <v/>
      </c>
      <c r="K113" s="27">
        <f>IF(H113="","",H113/$C$5*(1+$C$8)+$E113*(1+$C$7)*$C$6)</f>
        <v/>
      </c>
      <c r="L113" s="27">
        <f>IF(I113="","",I113/$C$5*(1+$C$8)+$E113*(1+$C$7)*$C$6)</f>
        <v/>
      </c>
      <c r="M113" s="28">
        <f>IF(J113="","",ROUND(J113*(1+$C$9),2))</f>
        <v/>
      </c>
      <c r="N113" s="28">
        <f>IF(K113="","",ROUND(K113*(1+$C$9),2))</f>
        <v/>
      </c>
      <c r="O113" s="28">
        <f>IF(L113="","",ROUND(L113*(1+$C$9),2))</f>
        <v/>
      </c>
      <c r="P113" s="29">
        <f>TRIM(IF($B113="NOT ASSIGNED","No NW part no. ","")&amp;IFERROR(IF(INDEX(Conversion!$J$2:$J$500,MATCH($A113,Conversion!$B$2:$B$500,0))="Needs review","Conversion table: needs review. ",""),"")&amp;IF(LEFT($F113,8)="ESTIMATE","Weight estimated. ","")&amp;"")</f>
        <v/>
      </c>
    </row>
    <row r="115">
      <c r="A115" s="19" t="inlineStr">
        <is>
          <t>AKAWLU1-B</t>
        </is>
      </c>
      <c r="B115" s="20">
        <f>IFERROR(INDEX(Conversion!$C$2:$C$500,MATCH($A115,Conversion!$B$2:$B$500,0)),"NOT ASSIGNED")</f>
        <v/>
      </c>
      <c r="C115" s="21" t="inlineStr">
        <is>
          <t>Air/water gun, blue</t>
        </is>
      </c>
      <c r="D115" s="22" t="inlineStr">
        <is>
          <t>Air-Boosted WD gun, 2x 10 mm hose tails (air &amp; water), blue, aluminium</t>
        </is>
      </c>
      <c r="E115" s="23" t="n">
        <v>0.8</v>
      </c>
      <c r="F115" s="24" t="inlineStr">
        <is>
          <t>Cat p.27</t>
        </is>
      </c>
      <c r="G115" s="25" t="n">
        <v>76.34999999999999</v>
      </c>
      <c r="H115" s="26" t="n"/>
      <c r="I115" s="26" t="n"/>
      <c r="J115" s="27">
        <f>IF(G115="","",G115/$C$5*(1+$C$8)+$E115*(1+$C$7)*$C$6)</f>
        <v/>
      </c>
      <c r="K115" s="27">
        <f>IF(H115="","",H115/$C$5*(1+$C$8)+$E115*(1+$C$7)*$C$6)</f>
        <v/>
      </c>
      <c r="L115" s="27">
        <f>IF(I115="","",I115/$C$5*(1+$C$8)+$E115*(1+$C$7)*$C$6)</f>
        <v/>
      </c>
      <c r="M115" s="28">
        <f>IF(J115="","",ROUND(J115*(1+$C$9),2))</f>
        <v/>
      </c>
      <c r="N115" s="28">
        <f>IF(K115="","",ROUND(K115*(1+$C$9),2))</f>
        <v/>
      </c>
      <c r="O115" s="28">
        <f>IF(L115="","",ROUND(L115*(1+$C$9),2))</f>
        <v/>
      </c>
      <c r="P115" s="29">
        <f>TRIM(IF($B115="NOT ASSIGNED","No NW part no. ","")&amp;IFERROR(IF(INDEX(Conversion!$J$2:$J$500,MATCH($A115,Conversion!$B$2:$B$500,0))="Needs review","Conversion table: needs review. ",""),"")&amp;IF(LEFT($F115,8)="ESTIMATE","Weight estimated. ","")&amp;"AKBO note at 3rd break: '20pcs 66,81'")</f>
        <v/>
      </c>
    </row>
    <row r="117">
      <c r="A117" s="16" t="inlineStr">
        <is>
          <t>Water Saver</t>
        </is>
      </c>
      <c r="B117" s="17" t="n"/>
      <c r="C117" s="17" t="n"/>
      <c r="D117" s="17" t="n"/>
      <c r="E117" s="17" t="n"/>
      <c r="F117" s="17" t="n"/>
      <c r="G117" s="18" t="inlineStr">
        <is>
          <t>&lt; 10 pcs</t>
        </is>
      </c>
      <c r="H117" s="18" t="inlineStr">
        <is>
          <t>≥ 10 pcs</t>
        </is>
      </c>
      <c r="I117" s="18" t="inlineStr">
        <is>
          <t>≥ 50 pcs</t>
        </is>
      </c>
      <c r="J117" s="18" t="inlineStr">
        <is>
          <t>&lt; 10 pcs</t>
        </is>
      </c>
      <c r="K117" s="18" t="inlineStr">
        <is>
          <t>≥ 10 pcs</t>
        </is>
      </c>
      <c r="L117" s="18" t="inlineStr">
        <is>
          <t>≥ 50 pcs</t>
        </is>
      </c>
      <c r="M117" s="18" t="inlineStr">
        <is>
          <t>&lt; 10 pcs</t>
        </is>
      </c>
      <c r="N117" s="18" t="inlineStr">
        <is>
          <t>≥ 10 pcs</t>
        </is>
      </c>
      <c r="O117" s="18" t="inlineStr">
        <is>
          <t>≥ 50 pcs</t>
        </is>
      </c>
      <c r="P117" s="17" t="n"/>
    </row>
    <row r="118">
      <c r="A118" s="19" t="inlineStr">
        <is>
          <t>AKWMS01</t>
        </is>
      </c>
      <c r="B118" s="20">
        <f>IFERROR(INDEX(Conversion!$C$2:$C$500,MATCH($A118,Conversion!$B$2:$B$500,0)),"NOT ASSIGNED")</f>
        <v/>
      </c>
      <c r="C118" s="21" t="inlineStr">
        <is>
          <t>Water saver brass; model S; 3/4" female</t>
        </is>
      </c>
      <c r="D118" s="22" t="inlineStr">
        <is>
          <t>Water Saver nozzle, model S, flat spray, 3/4" F, brass</t>
        </is>
      </c>
      <c r="E118" s="30" t="n">
        <v>0.3</v>
      </c>
      <c r="F118" s="24" t="inlineStr">
        <is>
          <t>ESTIMATE - weight not in catalogue (p.45)</t>
        </is>
      </c>
      <c r="G118" s="25" t="n">
        <v>34.803</v>
      </c>
      <c r="H118" s="25" t="n">
        <v>30.94</v>
      </c>
      <c r="I118" s="26" t="n"/>
      <c r="J118" s="27">
        <f>IF(G118="","",G118/$C$5*(1+$C$8)+$E118*(1+$C$7)*$C$6)</f>
        <v/>
      </c>
      <c r="K118" s="27">
        <f>IF(H118="","",H118/$C$5*(1+$C$8)+$E118*(1+$C$7)*$C$6)</f>
        <v/>
      </c>
      <c r="L118" s="27">
        <f>IF(I118="","",I118/$C$5*(1+$C$8)+$E118*(1+$C$7)*$C$6)</f>
        <v/>
      </c>
      <c r="M118" s="28">
        <f>IF(J118="","",ROUND(J118*(1+$C$9),2))</f>
        <v/>
      </c>
      <c r="N118" s="28">
        <f>IF(K118="","",ROUND(K118*(1+$C$9),2))</f>
        <v/>
      </c>
      <c r="O118" s="28">
        <f>IF(L118="","",ROUND(L118*(1+$C$9),2))</f>
        <v/>
      </c>
      <c r="P118" s="29">
        <f>TRIM(IF($B118="NOT ASSIGNED","No NW part no. ","")&amp;IFERROR(IF(INDEX(Conversion!$J$2:$J$500,MATCH($A118,Conversion!$B$2:$B$500,0))="Needs review","Conversion table: needs review. ",""),"")&amp;IF(LEFT($F118,8)="ESTIMATE","Weight estimated. ","")&amp;"")</f>
        <v/>
      </c>
    </row>
    <row r="119">
      <c r="A119" s="19" t="inlineStr">
        <is>
          <t>AKWMM01</t>
        </is>
      </c>
      <c r="B119" s="20">
        <f>IFERROR(INDEX(Conversion!$C$2:$C$500,MATCH($A119,Conversion!$B$2:$B$500,0)),"NOT ASSIGNED")</f>
        <v/>
      </c>
      <c r="C119" s="21" t="inlineStr">
        <is>
          <t>Water saver brass; model M; 3/4" female</t>
        </is>
      </c>
      <c r="D119" s="22" t="inlineStr">
        <is>
          <t>Water Saver nozzle, model M, 13 mm orifice, 3/4" F, brass</t>
        </is>
      </c>
      <c r="E119" s="30" t="n">
        <v>0.3</v>
      </c>
      <c r="F119" s="24" t="inlineStr">
        <is>
          <t>ESTIMATE - weight not in catalogue (p.45)</t>
        </is>
      </c>
      <c r="G119" s="25" t="n">
        <v>34.803</v>
      </c>
      <c r="H119" s="25" t="n">
        <v>30.94</v>
      </c>
      <c r="I119" s="26" t="n"/>
      <c r="J119" s="27">
        <f>IF(G119="","",G119/$C$5*(1+$C$8)+$E119*(1+$C$7)*$C$6)</f>
        <v/>
      </c>
      <c r="K119" s="27">
        <f>IF(H119="","",H119/$C$5*(1+$C$8)+$E119*(1+$C$7)*$C$6)</f>
        <v/>
      </c>
      <c r="L119" s="27">
        <f>IF(I119="","",I119/$C$5*(1+$C$8)+$E119*(1+$C$7)*$C$6)</f>
        <v/>
      </c>
      <c r="M119" s="28">
        <f>IF(J119="","",ROUND(J119*(1+$C$9),2))</f>
        <v/>
      </c>
      <c r="N119" s="28">
        <f>IF(K119="","",ROUND(K119*(1+$C$9),2))</f>
        <v/>
      </c>
      <c r="O119" s="28">
        <f>IF(L119="","",ROUND(L119*(1+$C$9),2))</f>
        <v/>
      </c>
      <c r="P119" s="29">
        <f>TRIM(IF($B119="NOT ASSIGNED","No NW part no. ","")&amp;IFERROR(IF(INDEX(Conversion!$J$2:$J$500,MATCH($A119,Conversion!$B$2:$B$500,0))="Needs review","Conversion table: needs review. ",""),"")&amp;IF(LEFT($F119,8)="ESTIMATE","Weight estimated. ","")&amp;"")</f>
        <v/>
      </c>
    </row>
    <row r="120">
      <c r="A120" s="19" t="inlineStr">
        <is>
          <t>AKWML01</t>
        </is>
      </c>
      <c r="B120" s="20">
        <f>IFERROR(INDEX(Conversion!$C$2:$C$500,MATCH($A120,Conversion!$B$2:$B$500,0)),"NOT ASSIGNED")</f>
        <v/>
      </c>
      <c r="C120" s="21" t="inlineStr">
        <is>
          <t>Water saver brass; model L; 3/4" female</t>
        </is>
      </c>
      <c r="D120" s="22" t="inlineStr">
        <is>
          <t>Water Saver nozzle, model L, 9 mm orifice, 3/4" F, brass</t>
        </is>
      </c>
      <c r="E120" s="30" t="n">
        <v>0.3</v>
      </c>
      <c r="F120" s="24" t="inlineStr">
        <is>
          <t>ESTIMATE - weight not in catalogue (p.45)</t>
        </is>
      </c>
      <c r="G120" s="25" t="n">
        <v>34.803</v>
      </c>
      <c r="H120" s="25" t="n">
        <v>30.94</v>
      </c>
      <c r="I120" s="26" t="n"/>
      <c r="J120" s="27">
        <f>IF(G120="","",G120/$C$5*(1+$C$8)+$E120*(1+$C$7)*$C$6)</f>
        <v/>
      </c>
      <c r="K120" s="27">
        <f>IF(H120="","",H120/$C$5*(1+$C$8)+$E120*(1+$C$7)*$C$6)</f>
        <v/>
      </c>
      <c r="L120" s="27">
        <f>IF(I120="","",I120/$C$5*(1+$C$8)+$E120*(1+$C$7)*$C$6)</f>
        <v/>
      </c>
      <c r="M120" s="28">
        <f>IF(J120="","",ROUND(J120*(1+$C$9),2))</f>
        <v/>
      </c>
      <c r="N120" s="28">
        <f>IF(K120="","",ROUND(K120*(1+$C$9),2))</f>
        <v/>
      </c>
      <c r="O120" s="28">
        <f>IF(L120="","",ROUND(L120*(1+$C$9),2))</f>
        <v/>
      </c>
      <c r="P120" s="29">
        <f>TRIM(IF($B120="NOT ASSIGNED","No NW part no. ","")&amp;IFERROR(IF(INDEX(Conversion!$J$2:$J$500,MATCH($A120,Conversion!$B$2:$B$500,0))="Needs review","Conversion table: needs review. ",""),"")&amp;IF(LEFT($F120,8)="ESTIMATE","Weight estimated. ","")&amp;"")</f>
        <v/>
      </c>
    </row>
    <row r="121">
      <c r="A121" s="19" t="inlineStr">
        <is>
          <t>AKWMR01</t>
        </is>
      </c>
      <c r="B121" s="20">
        <f>IFERROR(INDEX(Conversion!$C$2:$C$500,MATCH($A121,Conversion!$B$2:$B$500,0)),"NOT ASSIGNED")</f>
        <v/>
      </c>
      <c r="C121" s="21" t="inlineStr">
        <is>
          <t>Water saver brass; model R; 3/4" female</t>
        </is>
      </c>
      <c r="D121" s="22" t="inlineStr">
        <is>
          <t>Water Saver nozzle, model R, 4.5 mm orifice, 3/4" F, brass</t>
        </is>
      </c>
      <c r="E121" s="30" t="n">
        <v>0.3</v>
      </c>
      <c r="F121" s="24" t="inlineStr">
        <is>
          <t>ESTIMATE - weight not in catalogue (p.45)</t>
        </is>
      </c>
      <c r="G121" s="25" t="n">
        <v>34.803</v>
      </c>
      <c r="H121" s="25" t="n">
        <v>30.94</v>
      </c>
      <c r="I121" s="26" t="n"/>
      <c r="J121" s="27">
        <f>IF(G121="","",G121/$C$5*(1+$C$8)+$E121*(1+$C$7)*$C$6)</f>
        <v/>
      </c>
      <c r="K121" s="27">
        <f>IF(H121="","",H121/$C$5*(1+$C$8)+$E121*(1+$C$7)*$C$6)</f>
        <v/>
      </c>
      <c r="L121" s="27">
        <f>IF(I121="","",I121/$C$5*(1+$C$8)+$E121*(1+$C$7)*$C$6)</f>
        <v/>
      </c>
      <c r="M121" s="28">
        <f>IF(J121="","",ROUND(J121*(1+$C$9),2))</f>
        <v/>
      </c>
      <c r="N121" s="28">
        <f>IF(K121="","",ROUND(K121*(1+$C$9),2))</f>
        <v/>
      </c>
      <c r="O121" s="28">
        <f>IF(L121="","",ROUND(L121*(1+$C$9),2))</f>
        <v/>
      </c>
      <c r="P121" s="29">
        <f>TRIM(IF($B121="NOT ASSIGNED","No NW part no. ","")&amp;IFERROR(IF(INDEX(Conversion!$J$2:$J$500,MATCH($A121,Conversion!$B$2:$B$500,0))="Needs review","Conversion table: needs review. ",""),"")&amp;IF(LEFT($F121,8)="ESTIMATE","Weight estimated. ","")&amp;"")</f>
        <v/>
      </c>
    </row>
    <row r="123">
      <c r="A123" s="19" t="inlineStr">
        <is>
          <t>AKWRS01</t>
        </is>
      </c>
      <c r="B123" s="20">
        <f>IFERROR(INDEX(Conversion!$C$2:$C$500,MATCH($A123,Conversion!$B$2:$B$500,0)),"NOT ASSIGNED")</f>
        <v/>
      </c>
      <c r="C123" s="21" t="inlineStr">
        <is>
          <t>Water saver stainless steel; model S; 3/4" female</t>
        </is>
      </c>
      <c r="D123" s="22" t="inlineStr">
        <is>
          <t>Water Saver nozzle, model S, flat spray, 3/4" F, stainless steel 304</t>
        </is>
      </c>
      <c r="E123" s="30" t="n">
        <v>0.3</v>
      </c>
      <c r="F123" s="24" t="inlineStr">
        <is>
          <t>ESTIMATE - weight not in catalogue (p.45)</t>
        </is>
      </c>
      <c r="G123" s="25" t="n">
        <v>88.84128</v>
      </c>
      <c r="H123" s="25" t="n">
        <v>83.28870000000001</v>
      </c>
      <c r="I123" s="26" t="n"/>
      <c r="J123" s="27">
        <f>IF(G123="","",G123/$C$5*(1+$C$8)+$E123*(1+$C$7)*$C$6)</f>
        <v/>
      </c>
      <c r="K123" s="27">
        <f>IF(H123="","",H123/$C$5*(1+$C$8)+$E123*(1+$C$7)*$C$6)</f>
        <v/>
      </c>
      <c r="L123" s="27">
        <f>IF(I123="","",I123/$C$5*(1+$C$8)+$E123*(1+$C$7)*$C$6)</f>
        <v/>
      </c>
      <c r="M123" s="28">
        <f>IF(J123="","",ROUND(J123*(1+$C$9),2))</f>
        <v/>
      </c>
      <c r="N123" s="28">
        <f>IF(K123="","",ROUND(K123*(1+$C$9),2))</f>
        <v/>
      </c>
      <c r="O123" s="28">
        <f>IF(L123="","",ROUND(L123*(1+$C$9),2))</f>
        <v/>
      </c>
      <c r="P123" s="29">
        <f>TRIM(IF($B123="NOT ASSIGNED","No NW part no. ","")&amp;IFERROR(IF(INDEX(Conversion!$J$2:$J$500,MATCH($A123,Conversion!$B$2:$B$500,0))="Needs review","Conversion table: needs review. ",""),"")&amp;IF(LEFT($F123,8)="ESTIMATE","Weight estimated. ","")&amp;"")</f>
        <v/>
      </c>
    </row>
    <row r="124">
      <c r="A124" s="19" t="inlineStr">
        <is>
          <t>AKWRM01</t>
        </is>
      </c>
      <c r="B124" s="20">
        <f>IFERROR(INDEX(Conversion!$C$2:$C$500,MATCH($A124,Conversion!$B$2:$B$500,0)),"NOT ASSIGNED")</f>
        <v/>
      </c>
      <c r="C124" s="21" t="inlineStr">
        <is>
          <t>Water saver stainless steel; model M; 3/4" female</t>
        </is>
      </c>
      <c r="D124" s="22" t="inlineStr">
        <is>
          <t>Water Saver nozzle, model M, 13 mm orifice, 3/4" F, stainless steel 304</t>
        </is>
      </c>
      <c r="E124" s="30" t="n">
        <v>0.3</v>
      </c>
      <c r="F124" s="24" t="inlineStr">
        <is>
          <t>ESTIMATE - weight not in catalogue (p.45)</t>
        </is>
      </c>
      <c r="G124" s="25" t="n">
        <v>88.84128</v>
      </c>
      <c r="H124" s="25" t="n">
        <v>83.28870000000001</v>
      </c>
      <c r="I124" s="26" t="n"/>
      <c r="J124" s="27">
        <f>IF(G124="","",G124/$C$5*(1+$C$8)+$E124*(1+$C$7)*$C$6)</f>
        <v/>
      </c>
      <c r="K124" s="27">
        <f>IF(H124="","",H124/$C$5*(1+$C$8)+$E124*(1+$C$7)*$C$6)</f>
        <v/>
      </c>
      <c r="L124" s="27">
        <f>IF(I124="","",I124/$C$5*(1+$C$8)+$E124*(1+$C$7)*$C$6)</f>
        <v/>
      </c>
      <c r="M124" s="28">
        <f>IF(J124="","",ROUND(J124*(1+$C$9),2))</f>
        <v/>
      </c>
      <c r="N124" s="28">
        <f>IF(K124="","",ROUND(K124*(1+$C$9),2))</f>
        <v/>
      </c>
      <c r="O124" s="28">
        <f>IF(L124="","",ROUND(L124*(1+$C$9),2))</f>
        <v/>
      </c>
      <c r="P124" s="29">
        <f>TRIM(IF($B124="NOT ASSIGNED","No NW part no. ","")&amp;IFERROR(IF(INDEX(Conversion!$J$2:$J$500,MATCH($A124,Conversion!$B$2:$B$500,0))="Needs review","Conversion table: needs review. ",""),"")&amp;IF(LEFT($F124,8)="ESTIMATE","Weight estimated. ","")&amp;"")</f>
        <v/>
      </c>
    </row>
    <row r="125">
      <c r="A125" s="19" t="inlineStr">
        <is>
          <t>AKWRL01</t>
        </is>
      </c>
      <c r="B125" s="20">
        <f>IFERROR(INDEX(Conversion!$C$2:$C$500,MATCH($A125,Conversion!$B$2:$B$500,0)),"NOT ASSIGNED")</f>
        <v/>
      </c>
      <c r="C125" s="21" t="inlineStr">
        <is>
          <t>Water saver stainless steel; model L; 3/4" female</t>
        </is>
      </c>
      <c r="D125" s="22" t="inlineStr">
        <is>
          <t>Water Saver nozzle, model L, 9 mm orifice, 3/4" F, stainless steel 304</t>
        </is>
      </c>
      <c r="E125" s="30" t="n">
        <v>0.3</v>
      </c>
      <c r="F125" s="24" t="inlineStr">
        <is>
          <t>ESTIMATE - weight not in catalogue (p.45)</t>
        </is>
      </c>
      <c r="G125" s="25" t="n">
        <v>88.84128</v>
      </c>
      <c r="H125" s="25" t="n">
        <v>83.28870000000001</v>
      </c>
      <c r="I125" s="26" t="n"/>
      <c r="J125" s="27">
        <f>IF(G125="","",G125/$C$5*(1+$C$8)+$E125*(1+$C$7)*$C$6)</f>
        <v/>
      </c>
      <c r="K125" s="27">
        <f>IF(H125="","",H125/$C$5*(1+$C$8)+$E125*(1+$C$7)*$C$6)</f>
        <v/>
      </c>
      <c r="L125" s="27">
        <f>IF(I125="","",I125/$C$5*(1+$C$8)+$E125*(1+$C$7)*$C$6)</f>
        <v/>
      </c>
      <c r="M125" s="28">
        <f>IF(J125="","",ROUND(J125*(1+$C$9),2))</f>
        <v/>
      </c>
      <c r="N125" s="28">
        <f>IF(K125="","",ROUND(K125*(1+$C$9),2))</f>
        <v/>
      </c>
      <c r="O125" s="28">
        <f>IF(L125="","",ROUND(L125*(1+$C$9),2))</f>
        <v/>
      </c>
      <c r="P125" s="29">
        <f>TRIM(IF($B125="NOT ASSIGNED","No NW part no. ","")&amp;IFERROR(IF(INDEX(Conversion!$J$2:$J$500,MATCH($A125,Conversion!$B$2:$B$500,0))="Needs review","Conversion table: needs review. ",""),"")&amp;IF(LEFT($F125,8)="ESTIMATE","Weight estimated. ","")&amp;"")</f>
        <v/>
      </c>
    </row>
    <row r="126">
      <c r="A126" s="19" t="inlineStr">
        <is>
          <t>AKWRR01</t>
        </is>
      </c>
      <c r="B126" s="20">
        <f>IFERROR(INDEX(Conversion!$C$2:$C$500,MATCH($A126,Conversion!$B$2:$B$500,0)),"NOT ASSIGNED")</f>
        <v/>
      </c>
      <c r="C126" s="21" t="inlineStr">
        <is>
          <t>Water saver stainless steel; model R; 3/4" female</t>
        </is>
      </c>
      <c r="D126" s="22" t="inlineStr">
        <is>
          <t>Water Saver nozzle, model R, 4.5 mm orifice, 3/4" F, stainless steel 304</t>
        </is>
      </c>
      <c r="E126" s="30" t="n">
        <v>0.3</v>
      </c>
      <c r="F126" s="24" t="inlineStr">
        <is>
          <t>ESTIMATE - weight not in catalogue (p.45)</t>
        </is>
      </c>
      <c r="G126" s="25" t="n">
        <v>88.84128</v>
      </c>
      <c r="H126" s="25" t="n">
        <v>83.28870000000001</v>
      </c>
      <c r="I126" s="26" t="n"/>
      <c r="J126" s="27">
        <f>IF(G126="","",G126/$C$5*(1+$C$8)+$E126*(1+$C$7)*$C$6)</f>
        <v/>
      </c>
      <c r="K126" s="27">
        <f>IF(H126="","",H126/$C$5*(1+$C$8)+$E126*(1+$C$7)*$C$6)</f>
        <v/>
      </c>
      <c r="L126" s="27">
        <f>IF(I126="","",I126/$C$5*(1+$C$8)+$E126*(1+$C$7)*$C$6)</f>
        <v/>
      </c>
      <c r="M126" s="28">
        <f>IF(J126="","",ROUND(J126*(1+$C$9),2))</f>
        <v/>
      </c>
      <c r="N126" s="28">
        <f>IF(K126="","",ROUND(K126*(1+$C$9),2))</f>
        <v/>
      </c>
      <c r="O126" s="28">
        <f>IF(L126="","",ROUND(L126*(1+$C$9),2))</f>
        <v/>
      </c>
      <c r="P126" s="29">
        <f>TRIM(IF($B126="NOT ASSIGNED","No NW part no. ","")&amp;IFERROR(IF(INDEX(Conversion!$J$2:$J$500,MATCH($A126,Conversion!$B$2:$B$500,0))="Needs review","Conversion table: needs review. ",""),"")&amp;IF(LEFT($F126,8)="ESTIMATE","Weight estimated. ","")&amp;"")</f>
        <v/>
      </c>
    </row>
    <row r="128">
      <c r="A128" s="19" t="inlineStr">
        <is>
          <t>BWNM045</t>
        </is>
      </c>
      <c r="B128" s="20">
        <f>IFERROR(INDEX(Conversion!$C$2:$C$500,MATCH($A128,Conversion!$B$2:$B$500,0)),"NOT ASSIGNED")</f>
        <v/>
      </c>
      <c r="C128" s="21" t="inlineStr">
        <is>
          <t>Economic Sprayer "Blue Nozzle" brass with EPDM, 4.5mm outlet</t>
        </is>
      </c>
      <c r="D128" s="22" t="inlineStr">
        <is>
          <t>Blue Nozzle sprayer, 4.5 mm outlet, 3/4" F, blue, brass</t>
        </is>
      </c>
      <c r="E128" s="30" t="n">
        <v>0.25</v>
      </c>
      <c r="F128" s="24" t="inlineStr">
        <is>
          <t>ESTIMATE - weight not in catalogue (p.46)</t>
        </is>
      </c>
      <c r="G128" s="25" t="n">
        <v>23.293952</v>
      </c>
      <c r="H128" s="25" t="n">
        <v>21.83808</v>
      </c>
      <c r="I128" s="25" t="n">
        <v>19.799859</v>
      </c>
      <c r="J128" s="27">
        <f>IF(G128="","",G128/$C$5*(1+$C$8)+$E128*(1+$C$7)*$C$6)</f>
        <v/>
      </c>
      <c r="K128" s="27">
        <f>IF(H128="","",H128/$C$5*(1+$C$8)+$E128*(1+$C$7)*$C$6)</f>
        <v/>
      </c>
      <c r="L128" s="27">
        <f>IF(I128="","",I128/$C$5*(1+$C$8)+$E128*(1+$C$7)*$C$6)</f>
        <v/>
      </c>
      <c r="M128" s="28">
        <f>IF(J128="","",ROUND(J128*(1+$C$9),2))</f>
        <v/>
      </c>
      <c r="N128" s="28">
        <f>IF(K128="","",ROUND(K128*(1+$C$9),2))</f>
        <v/>
      </c>
      <c r="O128" s="28">
        <f>IF(L128="","",ROUND(L128*(1+$C$9),2))</f>
        <v/>
      </c>
      <c r="P128" s="29">
        <f>TRIM(IF($B128="NOT ASSIGNED","No NW part no. ","")&amp;IFERROR(IF(INDEX(Conversion!$J$2:$J$500,MATCH($A128,Conversion!$B$2:$B$500,0))="Needs review","Conversion table: needs review. ",""),"")&amp;IF(LEFT($F128,8)="ESTIMATE","Weight estimated. ","")&amp;"")</f>
        <v/>
      </c>
    </row>
    <row r="130">
      <c r="A130" s="16" t="inlineStr">
        <is>
          <t>Qty break</t>
        </is>
      </c>
      <c r="B130" s="17" t="n"/>
      <c r="C130" s="17" t="n"/>
      <c r="D130" s="17" t="n"/>
      <c r="E130" s="17" t="n"/>
      <c r="F130" s="17" t="n"/>
      <c r="G130" s="18" t="inlineStr">
        <is>
          <t>&lt; 10 pcs</t>
        </is>
      </c>
      <c r="H130" s="18" t="inlineStr">
        <is>
          <t>≥ 10 pcs</t>
        </is>
      </c>
      <c r="I130" s="18" t="inlineStr">
        <is>
          <t>≥ 50 pcs</t>
        </is>
      </c>
      <c r="J130" s="18" t="inlineStr">
        <is>
          <t>&lt; 10 pcs</t>
        </is>
      </c>
      <c r="K130" s="18" t="inlineStr">
        <is>
          <t>≥ 10 pcs</t>
        </is>
      </c>
      <c r="L130" s="18" t="inlineStr">
        <is>
          <t>≥ 50 pcs</t>
        </is>
      </c>
      <c r="M130" s="18" t="inlineStr">
        <is>
          <t>&lt; 10 pcs</t>
        </is>
      </c>
      <c r="N130" s="18" t="inlineStr">
        <is>
          <t>≥ 10 pcs</t>
        </is>
      </c>
      <c r="O130" s="18" t="inlineStr">
        <is>
          <t>≥ 50 pcs</t>
        </is>
      </c>
      <c r="P130" s="17" t="n"/>
    </row>
    <row r="131">
      <c r="A131" s="31" t="inlineStr">
        <is>
          <t>Shower Head</t>
        </is>
      </c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  <c r="O131" s="32" t="n"/>
      <c r="P131" s="32" t="n"/>
    </row>
    <row r="133">
      <c r="A133" s="19" t="inlineStr">
        <is>
          <t>AKKS003-B</t>
        </is>
      </c>
      <c r="B133" s="20">
        <f>IFERROR(INDEX(Conversion!$C$2:$C$500,MATCH($A133,Conversion!$B$2:$B$500,0)),"NOT ASSIGNED")</f>
        <v/>
      </c>
      <c r="C133" s="21" t="inlineStr">
        <is>
          <t>Plastic shower head, blue</t>
        </is>
      </c>
      <c r="D133" s="22" t="inlineStr">
        <is>
          <t>Shower Wash Head, 1/2" F, blue, PA66 plastic</t>
        </is>
      </c>
      <c r="E133" s="23" t="n">
        <v>0.26</v>
      </c>
      <c r="F133" s="24" t="inlineStr">
        <is>
          <t>Cat p.26</t>
        </is>
      </c>
      <c r="G133" s="25" t="n">
        <v>42.096208</v>
      </c>
      <c r="H133" s="25" t="n">
        <v>36.834182</v>
      </c>
      <c r="I133" s="25" t="n">
        <v>34.203169</v>
      </c>
      <c r="J133" s="27">
        <f>IF(G133="","",G133/$C$5*(1+$C$8)+$E133*(1+$C$7)*$C$6)</f>
        <v/>
      </c>
      <c r="K133" s="27">
        <f>IF(H133="","",H133/$C$5*(1+$C$8)+$E133*(1+$C$7)*$C$6)</f>
        <v/>
      </c>
      <c r="L133" s="27">
        <f>IF(I133="","",I133/$C$5*(1+$C$8)+$E133*(1+$C$7)*$C$6)</f>
        <v/>
      </c>
      <c r="M133" s="28">
        <f>IF(J133="","",ROUND(J133*(1+$C$9),2))</f>
        <v/>
      </c>
      <c r="N133" s="28">
        <f>IF(K133="","",ROUND(K133*(1+$C$9),2))</f>
        <v/>
      </c>
      <c r="O133" s="28">
        <f>IF(L133="","",ROUND(L133*(1+$C$9),2))</f>
        <v/>
      </c>
      <c r="P133" s="29">
        <f>TRIM(IF($B133="NOT ASSIGNED","No NW part no. ","")&amp;IFERROR(IF(INDEX(Conversion!$J$2:$J$500,MATCH($A133,Conversion!$B$2:$B$500,0))="Needs review","Conversion table: needs review. ",""),"")&amp;IF(LEFT($F133,8)="ESTIMATE","Weight estimated. ","")&amp;"")</f>
        <v/>
      </c>
    </row>
    <row r="134">
      <c r="A134" s="19" t="inlineStr">
        <is>
          <t>AKKS003-B-19</t>
        </is>
      </c>
      <c r="B134" s="20">
        <f>IFERROR(INDEX(Conversion!$C$2:$C$500,MATCH($A134,Conversion!$B$2:$B$500,0)),"NOT ASSIGNED")</f>
        <v/>
      </c>
      <c r="C134" s="21" t="inlineStr">
        <is>
          <t>Plastic shower head blue with 19mm hose tail MESC019 (separate)</t>
        </is>
      </c>
      <c r="D134" s="22" t="inlineStr">
        <is>
          <t>Shower Wash Head, 1/2" F, w/ 19 mm hose tail (loose), blue, PA66 plastic</t>
        </is>
      </c>
      <c r="E134" s="30" t="n">
        <v>0.3</v>
      </c>
      <c r="F134" s="24" t="inlineStr">
        <is>
          <t>ESTIMATE - 260 g shower (p.26) + MESC019 hose tail est.</t>
        </is>
      </c>
      <c r="G134" s="25" t="n">
        <v>46.099856</v>
      </c>
      <c r="H134" s="25" t="n">
        <v>40.337374</v>
      </c>
      <c r="I134" s="25" t="n">
        <v>37.456133</v>
      </c>
      <c r="J134" s="27">
        <f>IF(G134="","",G134/$C$5*(1+$C$8)+$E134*(1+$C$7)*$C$6)</f>
        <v/>
      </c>
      <c r="K134" s="27">
        <f>IF(H134="","",H134/$C$5*(1+$C$8)+$E134*(1+$C$7)*$C$6)</f>
        <v/>
      </c>
      <c r="L134" s="27">
        <f>IF(I134="","",I134/$C$5*(1+$C$8)+$E134*(1+$C$7)*$C$6)</f>
        <v/>
      </c>
      <c r="M134" s="28">
        <f>IF(J134="","",ROUND(J134*(1+$C$9),2))</f>
        <v/>
      </c>
      <c r="N134" s="28">
        <f>IF(K134="","",ROUND(K134*(1+$C$9),2))</f>
        <v/>
      </c>
      <c r="O134" s="28">
        <f>IF(L134="","",ROUND(L134*(1+$C$9),2))</f>
        <v/>
      </c>
      <c r="P134" s="29">
        <f>TRIM(IF($B134="NOT ASSIGNED","No NW part no. ","")&amp;IFERROR(IF(INDEX(Conversion!$J$2:$J$500,MATCH($A134,Conversion!$B$2:$B$500,0))="Needs review","Conversion table: needs review. ",""),"")&amp;IF(LEFT($F134,8)="ESTIMATE","Weight estimated. ","")&amp;"")</f>
        <v/>
      </c>
    </row>
    <row r="135">
      <c r="A135" s="19" t="inlineStr">
        <is>
          <t>AKKS003-W</t>
        </is>
      </c>
      <c r="B135" s="20">
        <f>IFERROR(INDEX(Conversion!$C$2:$C$500,MATCH($A135,Conversion!$B$2:$B$500,0)),"NOT ASSIGNED")</f>
        <v/>
      </c>
      <c r="C135" s="21" t="inlineStr">
        <is>
          <t>Plastic shower head, white</t>
        </is>
      </c>
      <c r="D135" s="22" t="inlineStr">
        <is>
          <t>Shower Wash Head, 1/2" F, white, PA66 plastic</t>
        </is>
      </c>
      <c r="E135" s="23" t="n">
        <v>0.26</v>
      </c>
      <c r="F135" s="24" t="inlineStr">
        <is>
          <t>Cat p.26</t>
        </is>
      </c>
      <c r="G135" s="25" t="n">
        <v>42.096208</v>
      </c>
      <c r="H135" s="25" t="n">
        <v>36.834182</v>
      </c>
      <c r="I135" s="25" t="n">
        <v>34.203169</v>
      </c>
      <c r="J135" s="27">
        <f>IF(G135="","",G135/$C$5*(1+$C$8)+$E135*(1+$C$7)*$C$6)</f>
        <v/>
      </c>
      <c r="K135" s="27">
        <f>IF(H135="","",H135/$C$5*(1+$C$8)+$E135*(1+$C$7)*$C$6)</f>
        <v/>
      </c>
      <c r="L135" s="27">
        <f>IF(I135="","",I135/$C$5*(1+$C$8)+$E135*(1+$C$7)*$C$6)</f>
        <v/>
      </c>
      <c r="M135" s="28">
        <f>IF(J135="","",ROUND(J135*(1+$C$9),2))</f>
        <v/>
      </c>
      <c r="N135" s="28">
        <f>IF(K135="","",ROUND(K135*(1+$C$9),2))</f>
        <v/>
      </c>
      <c r="O135" s="28">
        <f>IF(L135="","",ROUND(L135*(1+$C$9),2))</f>
        <v/>
      </c>
      <c r="P135" s="29">
        <f>TRIM(IF($B135="NOT ASSIGNED","No NW part no. ","")&amp;IFERROR(IF(INDEX(Conversion!$J$2:$J$500,MATCH($A135,Conversion!$B$2:$B$500,0))="Needs review","Conversion table: needs review. ",""),"")&amp;IF(LEFT($F135,8)="ESTIMATE","Weight estimated. ","")&amp;"")</f>
        <v/>
      </c>
    </row>
    <row r="136">
      <c r="A136" s="19" t="inlineStr">
        <is>
          <t>AKKS003-W-19</t>
        </is>
      </c>
      <c r="B136" s="20">
        <f>IFERROR(INDEX(Conversion!$C$2:$C$500,MATCH($A136,Conversion!$B$2:$B$500,0)),"NOT ASSIGNED")</f>
        <v/>
      </c>
      <c r="C136" s="21" t="inlineStr">
        <is>
          <t>Plastic shower head white with 19mm hose tail MESC019 (separate)</t>
        </is>
      </c>
      <c r="D136" s="22" t="inlineStr">
        <is>
          <t>Shower Wash Head, 1/2" F, w/ 19 mm hose tail (loose), white, PA66 plastic</t>
        </is>
      </c>
      <c r="E136" s="30" t="n">
        <v>0.3</v>
      </c>
      <c r="F136" s="24" t="inlineStr">
        <is>
          <t>ESTIMATE - 260 g shower (p.26) + MESC019 hose tail est.</t>
        </is>
      </c>
      <c r="G136" s="25" t="n">
        <v>46.099856</v>
      </c>
      <c r="H136" s="25" t="n">
        <v>40.337374</v>
      </c>
      <c r="I136" s="25" t="n">
        <v>37.456133</v>
      </c>
      <c r="J136" s="27">
        <f>IF(G136="","",G136/$C$5*(1+$C$8)+$E136*(1+$C$7)*$C$6)</f>
        <v/>
      </c>
      <c r="K136" s="27">
        <f>IF(H136="","",H136/$C$5*(1+$C$8)+$E136*(1+$C$7)*$C$6)</f>
        <v/>
      </c>
      <c r="L136" s="27">
        <f>IF(I136="","",I136/$C$5*(1+$C$8)+$E136*(1+$C$7)*$C$6)</f>
        <v/>
      </c>
      <c r="M136" s="28">
        <f>IF(J136="","",ROUND(J136*(1+$C$9),2))</f>
        <v/>
      </c>
      <c r="N136" s="28">
        <f>IF(K136="","",ROUND(K136*(1+$C$9),2))</f>
        <v/>
      </c>
      <c r="O136" s="28">
        <f>IF(L136="","",ROUND(L136*(1+$C$9),2))</f>
        <v/>
      </c>
      <c r="P136" s="29">
        <f>TRIM(IF($B136="NOT ASSIGNED","No NW part no. ","")&amp;IFERROR(IF(INDEX(Conversion!$J$2:$J$500,MATCH($A136,Conversion!$B$2:$B$500,0))="Needs review","Conversion table: needs review. ",""),"")&amp;IF(LEFT($F136,8)="ESTIMATE","Weight estimated. ","")&amp;"")</f>
        <v/>
      </c>
    </row>
    <row r="138">
      <c r="A138" s="14" t="inlineStr">
        <is>
          <t>Protected ball valves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</row>
    <row r="140">
      <c r="A140" s="16" t="inlineStr">
        <is>
          <t>Qty break</t>
        </is>
      </c>
      <c r="B140" s="17" t="n"/>
      <c r="C140" s="17" t="n"/>
      <c r="D140" s="17" t="n"/>
      <c r="E140" s="17" t="n"/>
      <c r="F140" s="17" t="n"/>
      <c r="G140" s="18" t="inlineStr">
        <is>
          <t>&lt; 10 pcs</t>
        </is>
      </c>
      <c r="H140" s="18" t="inlineStr">
        <is>
          <t>≥ 10 pcs</t>
        </is>
      </c>
      <c r="I140" s="18" t="inlineStr">
        <is>
          <t>≥ 50 pcs</t>
        </is>
      </c>
      <c r="J140" s="18" t="inlineStr">
        <is>
          <t>&lt; 10 pcs</t>
        </is>
      </c>
      <c r="K140" s="18" t="inlineStr">
        <is>
          <t>≥ 10 pcs</t>
        </is>
      </c>
      <c r="L140" s="18" t="inlineStr">
        <is>
          <t>≥ 50 pcs</t>
        </is>
      </c>
      <c r="M140" s="18" t="inlineStr">
        <is>
          <t>&lt; 10 pcs</t>
        </is>
      </c>
      <c r="N140" s="18" t="inlineStr">
        <is>
          <t>≥ 10 pcs</t>
        </is>
      </c>
      <c r="O140" s="18" t="inlineStr">
        <is>
          <t>≥ 50 pcs</t>
        </is>
      </c>
      <c r="P140" s="17" t="n"/>
    </row>
    <row r="141">
      <c r="A141" s="19" t="inlineStr">
        <is>
          <t>BALR001-B</t>
        </is>
      </c>
      <c r="B141" s="20">
        <f>IFERROR(INDEX(Conversion!$C$2:$C$500,MATCH($A141,Conversion!$B$2:$B$500,0)),"NOT ASSIGNED")</f>
        <v/>
      </c>
      <c r="C141" s="21" t="inlineStr">
        <is>
          <t>St.st. protected ball valve, 1/2" female x 1/2" female, blue</t>
        </is>
      </c>
      <c r="D141" s="22" t="inlineStr">
        <is>
          <t>Shielded ball valve, 1/2" F x 1/2" F, EPDM protection, blue, stainless steel 304</t>
        </is>
      </c>
      <c r="E141" s="30" t="n">
        <v>0.4</v>
      </c>
      <c r="F141" s="24" t="inlineStr">
        <is>
          <t>ESTIMATE - weight not in catalogue (p.38)</t>
        </is>
      </c>
      <c r="G141" s="25" t="n">
        <v>43.892266</v>
      </c>
      <c r="H141" s="25" t="n">
        <v>41.310368</v>
      </c>
      <c r="I141" s="25" t="n">
        <v>36.146572</v>
      </c>
      <c r="J141" s="27">
        <f>IF(G141="","",G141/$C$5*(1+$C$8)+$E141*(1+$C$7)*$C$6)</f>
        <v/>
      </c>
      <c r="K141" s="27">
        <f>IF(H141="","",H141/$C$5*(1+$C$8)+$E141*(1+$C$7)*$C$6)</f>
        <v/>
      </c>
      <c r="L141" s="27">
        <f>IF(I141="","",I141/$C$5*(1+$C$8)+$E141*(1+$C$7)*$C$6)</f>
        <v/>
      </c>
      <c r="M141" s="28">
        <f>IF(J141="","",ROUND(J141*(1+$C$9),2))</f>
        <v/>
      </c>
      <c r="N141" s="28">
        <f>IF(K141="","",ROUND(K141*(1+$C$9),2))</f>
        <v/>
      </c>
      <c r="O141" s="28">
        <f>IF(L141="","",ROUND(L141*(1+$C$9),2))</f>
        <v/>
      </c>
      <c r="P141" s="29">
        <f>TRIM(IF($B141="NOT ASSIGNED","No NW part no. ","")&amp;IFERROR(IF(INDEX(Conversion!$J$2:$J$500,MATCH($A141,Conversion!$B$2:$B$500,0))="Needs review","Conversion table: needs review. ",""),"")&amp;IF(LEFT($F141,8)="ESTIMATE","Weight estimated. ","")&amp;"")</f>
        <v/>
      </c>
    </row>
    <row r="142">
      <c r="A142" s="19" t="inlineStr">
        <is>
          <t>BALRCP1-B</t>
        </is>
      </c>
      <c r="B142" s="20">
        <f>IFERROR(INDEX(Conversion!$C$2:$C$500,MATCH($A142,Conversion!$B$2:$B$500,0)),"NOT ASSIGNED")</f>
        <v/>
      </c>
      <c r="C142" s="21" t="inlineStr">
        <is>
          <t>St.st. protected ball valve, 1/2" female x st.st. coupler with protection, blue</t>
        </is>
      </c>
      <c r="D142" s="22" t="inlineStr">
        <is>
          <t>Shielded ball valve, 1/2" F x quick coupling, EPDM protection, blue, stainless steel 304</t>
        </is>
      </c>
      <c r="E142" s="30" t="n">
        <v>0.55</v>
      </c>
      <c r="F142" s="24" t="inlineStr">
        <is>
          <t>ESTIMATE - weight not in catalogue (p.38)</t>
        </is>
      </c>
      <c r="G142" s="25" t="n">
        <v>63.025919</v>
      </c>
      <c r="H142" s="25" t="n">
        <v>59.318512</v>
      </c>
      <c r="I142" s="25" t="n">
        <v>51.903698</v>
      </c>
      <c r="J142" s="27">
        <f>IF(G142="","",G142/$C$5*(1+$C$8)+$E142*(1+$C$7)*$C$6)</f>
        <v/>
      </c>
      <c r="K142" s="27">
        <f>IF(H142="","",H142/$C$5*(1+$C$8)+$E142*(1+$C$7)*$C$6)</f>
        <v/>
      </c>
      <c r="L142" s="27">
        <f>IF(I142="","",I142/$C$5*(1+$C$8)+$E142*(1+$C$7)*$C$6)</f>
        <v/>
      </c>
      <c r="M142" s="28">
        <f>IF(J142="","",ROUND(J142*(1+$C$9),2))</f>
        <v/>
      </c>
      <c r="N142" s="28">
        <f>IF(K142="","",ROUND(K142*(1+$C$9),2))</f>
        <v/>
      </c>
      <c r="O142" s="28">
        <f>IF(L142="","",ROUND(L142*(1+$C$9),2))</f>
        <v/>
      </c>
      <c r="P142" s="29">
        <f>TRIM(IF($B142="NOT ASSIGNED","No NW part no. ","")&amp;IFERROR(IF(INDEX(Conversion!$J$2:$J$500,MATCH($A142,Conversion!$B$2:$B$500,0))="Needs review","Conversion table: needs review. ",""),"")&amp;IF(LEFT($F142,8)="ESTIMATE","Weight estimated. ","")&amp;"")</f>
        <v/>
      </c>
    </row>
    <row r="143">
      <c r="A143" s="19" t="inlineStr">
        <is>
          <t>BALRCP1-NB</t>
        </is>
      </c>
      <c r="B143" s="20">
        <f>IFERROR(INDEX(Conversion!$C$2:$C$500,MATCH($A143,Conversion!$B$2:$B$500,0)),"NOT ASSIGNED")</f>
        <v/>
      </c>
      <c r="C143" s="21" t="inlineStr">
        <is>
          <t>St.st. protected ball valve, 1/2" female x st.st. coupler with nylon protection, blue</t>
        </is>
      </c>
      <c r="D143" s="22" t="inlineStr">
        <is>
          <t>Shielded ball valve, 1/2" F x quick coupling, nylon protection, blue, stainless steel 304</t>
        </is>
      </c>
      <c r="E143" s="30" t="n">
        <v>0.55</v>
      </c>
      <c r="F143" s="24" t="inlineStr">
        <is>
          <t>ESTIMATE - weight not in catalogue (p.38)</t>
        </is>
      </c>
      <c r="G143" s="25" t="n">
        <v>66.53273</v>
      </c>
      <c r="H143" s="25" t="n">
        <v>62.61904</v>
      </c>
      <c r="I143" s="25" t="n">
        <v>54.79166</v>
      </c>
      <c r="J143" s="27">
        <f>IF(G143="","",G143/$C$5*(1+$C$8)+$E143*(1+$C$7)*$C$6)</f>
        <v/>
      </c>
      <c r="K143" s="27">
        <f>IF(H143="","",H143/$C$5*(1+$C$8)+$E143*(1+$C$7)*$C$6)</f>
        <v/>
      </c>
      <c r="L143" s="27">
        <f>IF(I143="","",I143/$C$5*(1+$C$8)+$E143*(1+$C$7)*$C$6)</f>
        <v/>
      </c>
      <c r="M143" s="28">
        <f>IF(J143="","",ROUND(J143*(1+$C$9),2))</f>
        <v/>
      </c>
      <c r="N143" s="28">
        <f>IF(K143="","",ROUND(K143*(1+$C$9),2))</f>
        <v/>
      </c>
      <c r="O143" s="28">
        <f>IF(L143="","",ROUND(L143*(1+$C$9),2))</f>
        <v/>
      </c>
      <c r="P143" s="29">
        <f>TRIM(IF($B143="NOT ASSIGNED","No NW part no. ","")&amp;IFERROR(IF(INDEX(Conversion!$J$2:$J$500,MATCH($A143,Conversion!$B$2:$B$500,0))="Needs review","Conversion table: needs review. ",""),"")&amp;IF(LEFT($F143,8)="ESTIMATE","Weight estimated. ","")&amp;"")</f>
        <v/>
      </c>
    </row>
    <row r="144">
      <c r="A144" s="19" t="inlineStr">
        <is>
          <t>BARRCP2-B</t>
        </is>
      </c>
      <c r="B144" s="20">
        <f>IFERROR(INDEX(Conversion!$C$2:$C$500,MATCH($A144,Conversion!$B$2:$B$500,0)),"NOT ASSIGNED")</f>
        <v/>
      </c>
      <c r="C144" s="21" t="inlineStr">
        <is>
          <t>Stainless steel (AISI 316) ball valve with mechanical protection, coupler with blue protection and adapter</t>
        </is>
      </c>
      <c r="D144" s="22" t="inlineStr">
        <is>
          <t>Shielded ball valve, 1/2" F x quick coupling, EPDM protection, lever guard, blue, stainless steel 316</t>
        </is>
      </c>
      <c r="E144" s="30" t="n">
        <v>0.6</v>
      </c>
      <c r="F144" s="24" t="inlineStr">
        <is>
          <t>ESTIMATE - weight not in catalogue (p.38)</t>
        </is>
      </c>
      <c r="G144" s="25" t="n">
        <v>52.874624</v>
      </c>
      <c r="H144" s="25" t="n">
        <v>49.764352</v>
      </c>
      <c r="I144" s="25" t="n">
        <v>43.543808</v>
      </c>
      <c r="J144" s="27">
        <f>IF(G144="","",G144/$C$5*(1+$C$8)+$E144*(1+$C$7)*$C$6)</f>
        <v/>
      </c>
      <c r="K144" s="27">
        <f>IF(H144="","",H144/$C$5*(1+$C$8)+$E144*(1+$C$7)*$C$6)</f>
        <v/>
      </c>
      <c r="L144" s="27">
        <f>IF(I144="","",I144/$C$5*(1+$C$8)+$E144*(1+$C$7)*$C$6)</f>
        <v/>
      </c>
      <c r="M144" s="28">
        <f>IF(J144="","",ROUND(J144*(1+$C$9),2))</f>
        <v/>
      </c>
      <c r="N144" s="28">
        <f>IF(K144="","",ROUND(K144*(1+$C$9),2))</f>
        <v/>
      </c>
      <c r="O144" s="28">
        <f>IF(L144="","",ROUND(L144*(1+$C$9),2))</f>
        <v/>
      </c>
      <c r="P144" s="29">
        <f>TRIM(IF($B144="NOT ASSIGNED","No NW part no. ","")&amp;IFERROR(IF(INDEX(Conversion!$J$2:$J$500,MATCH($A144,Conversion!$B$2:$B$500,0))="Needs review","Conversion table: needs review. ",""),"")&amp;IF(LEFT($F144,8)="ESTIMATE","Weight estimated. ","")&amp;"")</f>
        <v/>
      </c>
    </row>
    <row r="146">
      <c r="A146" s="14" t="inlineStr">
        <is>
          <t>Ball bearing swivels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</row>
    <row r="148">
      <c r="A148" s="16" t="inlineStr">
        <is>
          <t>Qty break</t>
        </is>
      </c>
      <c r="B148" s="17" t="n"/>
      <c r="C148" s="17" t="n"/>
      <c r="D148" s="17" t="n"/>
      <c r="E148" s="17" t="n"/>
      <c r="F148" s="17" t="n"/>
      <c r="G148" s="18" t="inlineStr">
        <is>
          <t>&lt; 10 pcs</t>
        </is>
      </c>
      <c r="H148" s="18" t="inlineStr">
        <is>
          <t>≥ 10 pcs</t>
        </is>
      </c>
      <c r="I148" s="18" t="inlineStr">
        <is>
          <t>≥ 50 pcs</t>
        </is>
      </c>
      <c r="J148" s="18" t="inlineStr">
        <is>
          <t>&lt; 10 pcs</t>
        </is>
      </c>
      <c r="K148" s="18" t="inlineStr">
        <is>
          <t>≥ 10 pcs</t>
        </is>
      </c>
      <c r="L148" s="18" t="inlineStr">
        <is>
          <t>≥ 50 pcs</t>
        </is>
      </c>
      <c r="M148" s="18" t="inlineStr">
        <is>
          <t>&lt; 10 pcs</t>
        </is>
      </c>
      <c r="N148" s="18" t="inlineStr">
        <is>
          <t>≥ 10 pcs</t>
        </is>
      </c>
      <c r="O148" s="18" t="inlineStr">
        <is>
          <t>≥ 50 pcs</t>
        </is>
      </c>
      <c r="P148" s="17" t="n"/>
    </row>
    <row r="149">
      <c r="A149" s="31" t="inlineStr">
        <is>
          <t>Brass ball bearing swivels</t>
        </is>
      </c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  <c r="O149" s="32" t="n"/>
      <c r="P149" s="32" t="n"/>
    </row>
    <row r="151">
      <c r="A151" s="19" t="inlineStr">
        <is>
          <t>SWM09-12</t>
        </is>
      </c>
      <c r="B151" s="20">
        <f>IFERROR(INDEX(Conversion!$C$2:$C$500,MATCH($A151,Conversion!$B$2:$B$500,0)),"NOT ASSIGNED")</f>
        <v/>
      </c>
      <c r="C151" s="21" t="inlineStr">
        <is>
          <t>Brass ball bearing swivel, 1/2" male x 1/2" female, 9mm bore, flat seals</t>
        </is>
      </c>
      <c r="D151" s="22" t="inlineStr">
        <is>
          <t>Ball bearing swivel, 1/2" M x 1/2" F, 9 mm bore, brass</t>
        </is>
      </c>
      <c r="E151" s="30" t="n">
        <v>0.09</v>
      </c>
      <c r="F151" s="24" t="inlineStr">
        <is>
          <t>ESTIMATE - catalogue gives dimensions only (p.68-71)</t>
        </is>
      </c>
      <c r="G151" s="25" t="n">
        <v>10.100112</v>
      </c>
      <c r="H151" s="25" t="n">
        <v>8.837598</v>
      </c>
      <c r="I151" s="25" t="n">
        <v>8.206341</v>
      </c>
      <c r="J151" s="27">
        <f>IF(G151="","",G151/$C$5*(1+$C$8)+$E151*(1+$C$7)*$C$6)</f>
        <v/>
      </c>
      <c r="K151" s="27">
        <f>IF(H151="","",H151/$C$5*(1+$C$8)+$E151*(1+$C$7)*$C$6)</f>
        <v/>
      </c>
      <c r="L151" s="27">
        <f>IF(I151="","",I151/$C$5*(1+$C$8)+$E151*(1+$C$7)*$C$6)</f>
        <v/>
      </c>
      <c r="M151" s="28">
        <f>IF(J151="","",ROUND(J151*(1+$C$9),2))</f>
        <v/>
      </c>
      <c r="N151" s="28">
        <f>IF(K151="","",ROUND(K151*(1+$C$9),2))</f>
        <v/>
      </c>
      <c r="O151" s="28">
        <f>IF(L151="","",ROUND(L151*(1+$C$9),2))</f>
        <v/>
      </c>
      <c r="P151" s="29">
        <f>TRIM(IF($B151="NOT ASSIGNED","No NW part no. ","")&amp;IFERROR(IF(INDEX(Conversion!$J$2:$J$500,MATCH($A151,Conversion!$B$2:$B$500,0))="Needs review","Conversion table: needs review. ",""),"")&amp;IF(LEFT($F151,8)="ESTIMATE","Weight estimated. ","")&amp;"")</f>
        <v/>
      </c>
    </row>
    <row r="152">
      <c r="A152" s="19" t="inlineStr">
        <is>
          <t>SWM09-34</t>
        </is>
      </c>
      <c r="B152" s="20">
        <f>IFERROR(INDEX(Conversion!$C$2:$C$500,MATCH($A152,Conversion!$B$2:$B$500,0)),"NOT ASSIGNED")</f>
        <v/>
      </c>
      <c r="C152" s="21" t="inlineStr">
        <is>
          <t>Brass ball bearing swivel, 1/2" male x 3/4" female, 9mm bore, flat seals</t>
        </is>
      </c>
      <c r="D152" s="22" t="inlineStr">
        <is>
          <t>Ball bearing swivel, 1/2" M x 3/4" F, 9 mm bore, brass</t>
        </is>
      </c>
      <c r="E152" s="30" t="n">
        <v>0.1</v>
      </c>
      <c r="F152" s="24" t="inlineStr">
        <is>
          <t>ESTIMATE - catalogue gives dimensions only (p.68-71)</t>
        </is>
      </c>
      <c r="G152" s="25" t="n">
        <v>10.447536</v>
      </c>
      <c r="H152" s="25" t="n">
        <v>9.141594</v>
      </c>
      <c r="I152" s="25" t="n">
        <v>8.488623</v>
      </c>
      <c r="J152" s="27">
        <f>IF(G152="","",G152/$C$5*(1+$C$8)+$E152*(1+$C$7)*$C$6)</f>
        <v/>
      </c>
      <c r="K152" s="27">
        <f>IF(H152="","",H152/$C$5*(1+$C$8)+$E152*(1+$C$7)*$C$6)</f>
        <v/>
      </c>
      <c r="L152" s="27">
        <f>IF(I152="","",I152/$C$5*(1+$C$8)+$E152*(1+$C$7)*$C$6)</f>
        <v/>
      </c>
      <c r="M152" s="28">
        <f>IF(J152="","",ROUND(J152*(1+$C$9),2))</f>
        <v/>
      </c>
      <c r="N152" s="28">
        <f>IF(K152="","",ROUND(K152*(1+$C$9),2))</f>
        <v/>
      </c>
      <c r="O152" s="28">
        <f>IF(L152="","",ROUND(L152*(1+$C$9),2))</f>
        <v/>
      </c>
      <c r="P152" s="29">
        <f>TRIM(IF($B152="NOT ASSIGNED","No NW part no. ","")&amp;IFERROR(IF(INDEX(Conversion!$J$2:$J$500,MATCH($A152,Conversion!$B$2:$B$500,0))="Needs review","Conversion table: needs review. ",""),"")&amp;IF(LEFT($F152,8)="ESTIMATE","Weight estimated. ","")&amp;"")</f>
        <v/>
      </c>
    </row>
    <row r="153">
      <c r="A153" s="19" t="inlineStr">
        <is>
          <t>SWM14-34</t>
        </is>
      </c>
      <c r="B153" s="20">
        <f>IFERROR(INDEX(Conversion!$C$2:$C$500,MATCH($A153,Conversion!$B$2:$B$500,0)),"NOT ASSIGNED")</f>
        <v/>
      </c>
      <c r="C153" s="21" t="inlineStr">
        <is>
          <t>Brass ball bearing swivel, 1/2" male x 3/4" female, 14mm bore, flat seals</t>
        </is>
      </c>
      <c r="D153" s="22" t="inlineStr">
        <is>
          <t>Ball bearing swivel, 1/2" M x 3/4" F, 14 mm bore, brass</t>
        </is>
      </c>
      <c r="E153" s="30" t="n">
        <v>0.13</v>
      </c>
      <c r="F153" s="24" t="inlineStr">
        <is>
          <t>ESTIMATE - catalogue gives dimensions only (p.68-71)</t>
        </is>
      </c>
      <c r="G153" s="25" t="n">
        <v>11.1672</v>
      </c>
      <c r="H153" s="25" t="n">
        <v>9.7713</v>
      </c>
      <c r="I153" s="25" t="n">
        <v>9.07335</v>
      </c>
      <c r="J153" s="27">
        <f>IF(G153="","",G153/$C$5*(1+$C$8)+$E153*(1+$C$7)*$C$6)</f>
        <v/>
      </c>
      <c r="K153" s="27">
        <f>IF(H153="","",H153/$C$5*(1+$C$8)+$E153*(1+$C$7)*$C$6)</f>
        <v/>
      </c>
      <c r="L153" s="27">
        <f>IF(I153="","",I153/$C$5*(1+$C$8)+$E153*(1+$C$7)*$C$6)</f>
        <v/>
      </c>
      <c r="M153" s="28">
        <f>IF(J153="","",ROUND(J153*(1+$C$9),2))</f>
        <v/>
      </c>
      <c r="N153" s="28">
        <f>IF(K153="","",ROUND(K153*(1+$C$9),2))</f>
        <v/>
      </c>
      <c r="O153" s="28">
        <f>IF(L153="","",ROUND(L153*(1+$C$9),2))</f>
        <v/>
      </c>
      <c r="P153" s="29">
        <f>TRIM(IF($B153="NOT ASSIGNED","No NW part no. ","")&amp;IFERROR(IF(INDEX(Conversion!$J$2:$J$500,MATCH($A153,Conversion!$B$2:$B$500,0))="Needs review","Conversion table: needs review. ",""),"")&amp;IF(LEFT($F153,8)="ESTIMATE","Weight estimated. ","")&amp;"")</f>
        <v/>
      </c>
    </row>
    <row r="154">
      <c r="A154" s="19" t="inlineStr">
        <is>
          <t>SWM14-34X34</t>
        </is>
      </c>
      <c r="B154" s="20">
        <f>IFERROR(INDEX(Conversion!$C$2:$C$500,MATCH($A154,Conversion!$B$2:$B$500,0)),"NOT ASSIGNED")</f>
        <v/>
      </c>
      <c r="C154" s="21" t="inlineStr">
        <is>
          <t>Brass ball bearing swivel, 3/4" male x 3/4" female, 14mm bore, flat seals</t>
        </is>
      </c>
      <c r="D154" s="22" t="inlineStr">
        <is>
          <t>Ball bearing swivel, 3/4" M x 3/4" F, 14 mm bore, brass</t>
        </is>
      </c>
      <c r="E154" s="30" t="n">
        <v>0.15</v>
      </c>
      <c r="F154" s="24" t="inlineStr">
        <is>
          <t>ESTIMATE - catalogue gives dimensions only (p.68-71)</t>
        </is>
      </c>
      <c r="G154" s="25" t="n">
        <v>12.672704</v>
      </c>
      <c r="H154" s="25" t="n">
        <v>11.088616</v>
      </c>
      <c r="I154" s="25" t="n">
        <v>10.296572</v>
      </c>
      <c r="J154" s="27">
        <f>IF(G154="","",G154/$C$5*(1+$C$8)+$E154*(1+$C$7)*$C$6)</f>
        <v/>
      </c>
      <c r="K154" s="27">
        <f>IF(H154="","",H154/$C$5*(1+$C$8)+$E154*(1+$C$7)*$C$6)</f>
        <v/>
      </c>
      <c r="L154" s="27">
        <f>IF(I154="","",I154/$C$5*(1+$C$8)+$E154*(1+$C$7)*$C$6)</f>
        <v/>
      </c>
      <c r="M154" s="28">
        <f>IF(J154="","",ROUND(J154*(1+$C$9),2))</f>
        <v/>
      </c>
      <c r="N154" s="28">
        <f>IF(K154="","",ROUND(K154*(1+$C$9),2))</f>
        <v/>
      </c>
      <c r="O154" s="28">
        <f>IF(L154="","",ROUND(L154*(1+$C$9),2))</f>
        <v/>
      </c>
      <c r="P154" s="29">
        <f>TRIM(IF($B154="NOT ASSIGNED","No NW part no. ","")&amp;IFERROR(IF(INDEX(Conversion!$J$2:$J$500,MATCH($A154,Conversion!$B$2:$B$500,0))="Needs review","Conversion table: needs review. ",""),"")&amp;IF(LEFT($F154,8)="ESTIMATE","Weight estimated. ","")&amp;"")</f>
        <v/>
      </c>
    </row>
    <row r="155">
      <c r="A155" s="19" t="inlineStr">
        <is>
          <t>SWM18-1X1</t>
        </is>
      </c>
      <c r="B155" s="20">
        <f>IFERROR(INDEX(Conversion!$C$2:$C$500,MATCH($A155,Conversion!$B$2:$B$500,0)),"NOT ASSIGNED")</f>
        <v/>
      </c>
      <c r="C155" s="21" t="inlineStr">
        <is>
          <t>Brass ball bearing swivel, 1" male x 1" female, 18mm bore, flat seals</t>
        </is>
      </c>
      <c r="D155" s="22" t="inlineStr">
        <is>
          <t>Ball bearing swivel, 1" M x 1" F, 18 mm bore, brass</t>
        </is>
      </c>
      <c r="E155" s="30" t="n">
        <v>0.25</v>
      </c>
      <c r="F155" s="24" t="inlineStr">
        <is>
          <t>ESTIMATE - catalogue gives dimensions only (p.68-71)</t>
        </is>
      </c>
      <c r="G155" s="25" t="n">
        <v>19.166224</v>
      </c>
      <c r="H155" s="25" t="n">
        <v>16.770446</v>
      </c>
      <c r="I155" s="25" t="n">
        <v>15.572557</v>
      </c>
      <c r="J155" s="27">
        <f>IF(G155="","",G155/$C$5*(1+$C$8)+$E155*(1+$C$7)*$C$6)</f>
        <v/>
      </c>
      <c r="K155" s="27">
        <f>IF(H155="","",H155/$C$5*(1+$C$8)+$E155*(1+$C$7)*$C$6)</f>
        <v/>
      </c>
      <c r="L155" s="27">
        <f>IF(I155="","",I155/$C$5*(1+$C$8)+$E155*(1+$C$7)*$C$6)</f>
        <v/>
      </c>
      <c r="M155" s="28">
        <f>IF(J155="","",ROUND(J155*(1+$C$9),2))</f>
        <v/>
      </c>
      <c r="N155" s="28">
        <f>IF(K155="","",ROUND(K155*(1+$C$9),2))</f>
        <v/>
      </c>
      <c r="O155" s="28">
        <f>IF(L155="","",ROUND(L155*(1+$C$9),2))</f>
        <v/>
      </c>
      <c r="P155" s="29">
        <f>TRIM(IF($B155="NOT ASSIGNED","No NW part no. ","")&amp;IFERROR(IF(INDEX(Conversion!$J$2:$J$500,MATCH($A155,Conversion!$B$2:$B$500,0))="Needs review","Conversion table: needs review. ",""),"")&amp;IF(LEFT($F155,8)="ESTIMATE","Weight estimated. ","")&amp;"")</f>
        <v/>
      </c>
    </row>
    <row r="156">
      <c r="A156" s="19" t="inlineStr">
        <is>
          <t>SWM09-12MX12M</t>
        </is>
      </c>
      <c r="B156" s="20">
        <f>IFERROR(INDEX(Conversion!$C$2:$C$500,MATCH($A156,Conversion!$B$2:$B$500,0)),"NOT ASSIGNED")</f>
        <v/>
      </c>
      <c r="C156" s="21" t="inlineStr">
        <is>
          <t>Brass ball bearing swivel, 1/2" male x 1/2" male, 9mm bore, flat seals</t>
        </is>
      </c>
      <c r="D156" s="22" t="inlineStr">
        <is>
          <t>Ball bearing swivel, 1/2" M x 1/2" M, 9 mm bore, brass</t>
        </is>
      </c>
      <c r="E156" s="30" t="n">
        <v>0.09</v>
      </c>
      <c r="F156" s="24" t="inlineStr">
        <is>
          <t>ESTIMATE - catalogue gives dimensions only (p.68-71)</t>
        </is>
      </c>
      <c r="G156" s="25" t="n">
        <v>10.348272</v>
      </c>
      <c r="H156" s="25" t="n">
        <v>9.054738</v>
      </c>
      <c r="I156" s="25" t="n">
        <v>8.407971</v>
      </c>
      <c r="J156" s="27">
        <f>IF(G156="","",G156/$C$5*(1+$C$8)+$E156*(1+$C$7)*$C$6)</f>
        <v/>
      </c>
      <c r="K156" s="27">
        <f>IF(H156="","",H156/$C$5*(1+$C$8)+$E156*(1+$C$7)*$C$6)</f>
        <v/>
      </c>
      <c r="L156" s="27">
        <f>IF(I156="","",I156/$C$5*(1+$C$8)+$E156*(1+$C$7)*$C$6)</f>
        <v/>
      </c>
      <c r="M156" s="28">
        <f>IF(J156="","",ROUND(J156*(1+$C$9),2))</f>
        <v/>
      </c>
      <c r="N156" s="28">
        <f>IF(K156="","",ROUND(K156*(1+$C$9),2))</f>
        <v/>
      </c>
      <c r="O156" s="28">
        <f>IF(L156="","",ROUND(L156*(1+$C$9),2))</f>
        <v/>
      </c>
      <c r="P156" s="29">
        <f>TRIM(IF($B156="NOT ASSIGNED","No NW part no. ","")&amp;IFERROR(IF(INDEX(Conversion!$J$2:$J$500,MATCH($A156,Conversion!$B$2:$B$500,0))="Needs review","Conversion table: needs review. ",""),"")&amp;IF(LEFT($F156,8)="ESTIMATE","Weight estimated. ","")&amp;"")</f>
        <v/>
      </c>
    </row>
    <row r="157">
      <c r="A157" s="19" t="inlineStr">
        <is>
          <t>SWM09-12MX34M</t>
        </is>
      </c>
      <c r="B157" s="20">
        <f>IFERROR(INDEX(Conversion!$C$2:$C$500,MATCH($A157,Conversion!$B$2:$B$500,0)),"NOT ASSIGNED")</f>
        <v/>
      </c>
      <c r="C157" s="21" t="inlineStr">
        <is>
          <t>Brass ball bearing swivel, 1/2" male x 3/4" male, 9mm bore, flat seal</t>
        </is>
      </c>
      <c r="D157" s="22" t="inlineStr">
        <is>
          <t>Ball bearing swivel, 1/2" M x 3/4" M, 9 mm bore, brass</t>
        </is>
      </c>
      <c r="E157" s="30" t="n">
        <v>0.1</v>
      </c>
      <c r="F157" s="24" t="inlineStr">
        <is>
          <t>ESTIMATE - catalogue gives dimensions only (p.68-71)</t>
        </is>
      </c>
      <c r="G157" s="25" t="n">
        <v>10.348272</v>
      </c>
      <c r="H157" s="25" t="n">
        <v>9.054738</v>
      </c>
      <c r="I157" s="25" t="n">
        <v>8.407971</v>
      </c>
      <c r="J157" s="27">
        <f>IF(G157="","",G157/$C$5*(1+$C$8)+$E157*(1+$C$7)*$C$6)</f>
        <v/>
      </c>
      <c r="K157" s="27">
        <f>IF(H157="","",H157/$C$5*(1+$C$8)+$E157*(1+$C$7)*$C$6)</f>
        <v/>
      </c>
      <c r="L157" s="27">
        <f>IF(I157="","",I157/$C$5*(1+$C$8)+$E157*(1+$C$7)*$C$6)</f>
        <v/>
      </c>
      <c r="M157" s="28">
        <f>IF(J157="","",ROUND(J157*(1+$C$9),2))</f>
        <v/>
      </c>
      <c r="N157" s="28">
        <f>IF(K157="","",ROUND(K157*(1+$C$9),2))</f>
        <v/>
      </c>
      <c r="O157" s="28">
        <f>IF(L157="","",ROUND(L157*(1+$C$9),2))</f>
        <v/>
      </c>
      <c r="P157" s="29">
        <f>TRIM(IF($B157="NOT ASSIGNED","No NW part no. ","")&amp;IFERROR(IF(INDEX(Conversion!$J$2:$J$500,MATCH($A157,Conversion!$B$2:$B$500,0))="Needs review","Conversion table: needs review. ",""),"")&amp;IF(LEFT($F157,8)="ESTIMATE","Weight estimated. ","")&amp;"")</f>
        <v/>
      </c>
    </row>
    <row r="159">
      <c r="A159" s="31" t="inlineStr">
        <is>
          <t>Chrome plated brass ball bearing swivels</t>
        </is>
      </c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  <c r="N159" s="32" t="n"/>
      <c r="O159" s="32" t="n"/>
      <c r="P159" s="32" t="n"/>
    </row>
    <row r="161">
      <c r="A161" s="19" t="inlineStr">
        <is>
          <t>SWC09-12</t>
        </is>
      </c>
      <c r="B161" s="20">
        <f>IFERROR(INDEX(Conversion!$C$2:$C$500,MATCH($A161,Conversion!$B$2:$B$500,0)),"NOT ASSIGNED")</f>
        <v/>
      </c>
      <c r="C161" s="21" t="inlineStr">
        <is>
          <t>Chrome plated brass ball bearing swivel, 1/2" male x 1/2" female, 9mm bore, flat seals</t>
        </is>
      </c>
      <c r="D161" s="22" t="inlineStr">
        <is>
          <t>Ball bearing swivel, 1/2" M x 1/2" F, 9 mm bore, chrome-plated brass</t>
        </is>
      </c>
      <c r="E161" s="30" t="n">
        <v>0.09</v>
      </c>
      <c r="F161" s="24" t="inlineStr">
        <is>
          <t>ESTIMATE - catalogue gives dimensions only (p.68-71)</t>
        </is>
      </c>
      <c r="G161" s="25" t="n">
        <v>12.978768</v>
      </c>
      <c r="H161" s="25" t="n">
        <v>11.356422</v>
      </c>
      <c r="I161" s="25" t="n">
        <v>10.545249</v>
      </c>
      <c r="J161" s="27">
        <f>IF(G161="","",G161/$C$5*(1+$C$8)+$E161*(1+$C$7)*$C$6)</f>
        <v/>
      </c>
      <c r="K161" s="27">
        <f>IF(H161="","",H161/$C$5*(1+$C$8)+$E161*(1+$C$7)*$C$6)</f>
        <v/>
      </c>
      <c r="L161" s="27">
        <f>IF(I161="","",I161/$C$5*(1+$C$8)+$E161*(1+$C$7)*$C$6)</f>
        <v/>
      </c>
      <c r="M161" s="28">
        <f>IF(J161="","",ROUND(J161*(1+$C$9),2))</f>
        <v/>
      </c>
      <c r="N161" s="28">
        <f>IF(K161="","",ROUND(K161*(1+$C$9),2))</f>
        <v/>
      </c>
      <c r="O161" s="28">
        <f>IF(L161="","",ROUND(L161*(1+$C$9),2))</f>
        <v/>
      </c>
      <c r="P161" s="29">
        <f>TRIM(IF($B161="NOT ASSIGNED","No NW part no. ","")&amp;IFERROR(IF(INDEX(Conversion!$J$2:$J$500,MATCH($A161,Conversion!$B$2:$B$500,0))="Needs review","Conversion table: needs review. ",""),"")&amp;IF(LEFT($F161,8)="ESTIMATE","Weight estimated. ","")&amp;"")</f>
        <v/>
      </c>
    </row>
    <row r="162">
      <c r="A162" s="19" t="inlineStr">
        <is>
          <t>SWC09-34</t>
        </is>
      </c>
      <c r="B162" s="20">
        <f>IFERROR(INDEX(Conversion!$C$2:$C$500,MATCH($A162,Conversion!$B$2:$B$500,0)),"NOT ASSIGNED")</f>
        <v/>
      </c>
      <c r="C162" s="21" t="inlineStr">
        <is>
          <t>Chrome plated brass ball bearing swivel, 1/2" male x 3/4" female, 9mm bore, flat seals</t>
        </is>
      </c>
      <c r="D162" s="22" t="inlineStr">
        <is>
          <t>Ball bearing swivel, 1/2" M x 3/4" F, 9 mm bore, chrome-plated brass</t>
        </is>
      </c>
      <c r="E162" s="30" t="n">
        <v>0.1</v>
      </c>
      <c r="F162" s="24" t="inlineStr">
        <is>
          <t>ESTIMATE - catalogue gives dimensions only (p.68-71)</t>
        </is>
      </c>
      <c r="G162" s="25" t="n">
        <v>12.978768</v>
      </c>
      <c r="H162" s="25" t="n">
        <v>11.356422</v>
      </c>
      <c r="I162" s="25" t="n">
        <v>10.545249</v>
      </c>
      <c r="J162" s="27">
        <f>IF(G162="","",G162/$C$5*(1+$C$8)+$E162*(1+$C$7)*$C$6)</f>
        <v/>
      </c>
      <c r="K162" s="27">
        <f>IF(H162="","",H162/$C$5*(1+$C$8)+$E162*(1+$C$7)*$C$6)</f>
        <v/>
      </c>
      <c r="L162" s="27">
        <f>IF(I162="","",I162/$C$5*(1+$C$8)+$E162*(1+$C$7)*$C$6)</f>
        <v/>
      </c>
      <c r="M162" s="28">
        <f>IF(J162="","",ROUND(J162*(1+$C$9),2))</f>
        <v/>
      </c>
      <c r="N162" s="28">
        <f>IF(K162="","",ROUND(K162*(1+$C$9),2))</f>
        <v/>
      </c>
      <c r="O162" s="28">
        <f>IF(L162="","",ROUND(L162*(1+$C$9),2))</f>
        <v/>
      </c>
      <c r="P162" s="29">
        <f>TRIM(IF($B162="NOT ASSIGNED","No NW part no. ","")&amp;IFERROR(IF(INDEX(Conversion!$J$2:$J$500,MATCH($A162,Conversion!$B$2:$B$500,0))="Needs review","Conversion table: needs review. ",""),"")&amp;IF(LEFT($F162,8)="ESTIMATE","Weight estimated. ","")&amp;"")</f>
        <v/>
      </c>
    </row>
    <row r="164">
      <c r="A164" s="31" t="inlineStr">
        <is>
          <t>Stainless steel 316 ball bearing swivels</t>
        </is>
      </c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  <c r="O164" s="32" t="n"/>
      <c r="P164" s="32" t="n"/>
    </row>
    <row r="166">
      <c r="A166" s="19" t="inlineStr">
        <is>
          <t>SWR09-12</t>
        </is>
      </c>
      <c r="B166" s="20">
        <f>IFERROR(INDEX(Conversion!$C$2:$C$500,MATCH($A166,Conversion!$B$2:$B$500,0)),"NOT ASSIGNED")</f>
        <v/>
      </c>
      <c r="C166" s="21" t="inlineStr">
        <is>
          <t>St.st. ball bearing swivel, 1/2" male x 1/2" female, 9mm bore, flat seals</t>
        </is>
      </c>
      <c r="D166" s="22" t="inlineStr">
        <is>
          <t>Ball bearing swivel, 1/2" M x 1/2" F, 9 mm bore, stainless steel 316</t>
        </is>
      </c>
      <c r="E166" s="30" t="n">
        <v>0.09</v>
      </c>
      <c r="F166" s="24" t="inlineStr">
        <is>
          <t>ESTIMATE - catalogue gives dimensions only (p.68-71)</t>
        </is>
      </c>
      <c r="G166" s="25" t="n">
        <v>20.076144</v>
      </c>
      <c r="H166" s="25" t="n">
        <v>17.566626</v>
      </c>
      <c r="I166" s="25" t="n">
        <v>16.311867</v>
      </c>
      <c r="J166" s="27">
        <f>IF(G166="","",G166/$C$5*(1+$C$8)+$E166*(1+$C$7)*$C$6)</f>
        <v/>
      </c>
      <c r="K166" s="27">
        <f>IF(H166="","",H166/$C$5*(1+$C$8)+$E166*(1+$C$7)*$C$6)</f>
        <v/>
      </c>
      <c r="L166" s="27">
        <f>IF(I166="","",I166/$C$5*(1+$C$8)+$E166*(1+$C$7)*$C$6)</f>
        <v/>
      </c>
      <c r="M166" s="28">
        <f>IF(J166="","",ROUND(J166*(1+$C$9),2))</f>
        <v/>
      </c>
      <c r="N166" s="28">
        <f>IF(K166="","",ROUND(K166*(1+$C$9),2))</f>
        <v/>
      </c>
      <c r="O166" s="28">
        <f>IF(L166="","",ROUND(L166*(1+$C$9),2))</f>
        <v/>
      </c>
      <c r="P166" s="29">
        <f>TRIM(IF($B166="NOT ASSIGNED","No NW part no. ","")&amp;IFERROR(IF(INDEX(Conversion!$J$2:$J$500,MATCH($A166,Conversion!$B$2:$B$500,0))="Needs review","Conversion table: needs review. ",""),"")&amp;IF(LEFT($F166,8)="ESTIMATE","Weight estimated. ","")&amp;"")</f>
        <v/>
      </c>
    </row>
    <row r="167">
      <c r="A167" s="19" t="inlineStr">
        <is>
          <t>SWR09-34</t>
        </is>
      </c>
      <c r="B167" s="20">
        <f>IFERROR(INDEX(Conversion!$C$2:$C$500,MATCH($A167,Conversion!$B$2:$B$500,0)),"NOT ASSIGNED")</f>
        <v/>
      </c>
      <c r="C167" s="21" t="inlineStr">
        <is>
          <t>St.st. ball bearing swivel, 1/2" male x 3/4" female, 9mm bore, flat seals</t>
        </is>
      </c>
      <c r="D167" s="22" t="inlineStr">
        <is>
          <t>Ball bearing swivel, 1/2" M x 3/4" F, 9 mm bore, stainless steel 316</t>
        </is>
      </c>
      <c r="E167" s="30" t="n">
        <v>0.1</v>
      </c>
      <c r="F167" s="24" t="inlineStr">
        <is>
          <t>ESTIMATE - catalogue gives dimensions only (p.68-71)</t>
        </is>
      </c>
      <c r="G167" s="25" t="n">
        <v>20.382208</v>
      </c>
      <c r="H167" s="25" t="n">
        <v>17.834432</v>
      </c>
      <c r="I167" s="25" t="n">
        <v>16.560544</v>
      </c>
      <c r="J167" s="27">
        <f>IF(G167="","",G167/$C$5*(1+$C$8)+$E167*(1+$C$7)*$C$6)</f>
        <v/>
      </c>
      <c r="K167" s="27">
        <f>IF(H167="","",H167/$C$5*(1+$C$8)+$E167*(1+$C$7)*$C$6)</f>
        <v/>
      </c>
      <c r="L167" s="27">
        <f>IF(I167="","",I167/$C$5*(1+$C$8)+$E167*(1+$C$7)*$C$6)</f>
        <v/>
      </c>
      <c r="M167" s="28">
        <f>IF(J167="","",ROUND(J167*(1+$C$9),2))</f>
        <v/>
      </c>
      <c r="N167" s="28">
        <f>IF(K167="","",ROUND(K167*(1+$C$9),2))</f>
        <v/>
      </c>
      <c r="O167" s="28">
        <f>IF(L167="","",ROUND(L167*(1+$C$9),2))</f>
        <v/>
      </c>
      <c r="P167" s="29">
        <f>TRIM(IF($B167="NOT ASSIGNED","No NW part no. ","")&amp;IFERROR(IF(INDEX(Conversion!$J$2:$J$500,MATCH($A167,Conversion!$B$2:$B$500,0))="Needs review","Conversion table: needs review. ",""),"")&amp;IF(LEFT($F167,8)="ESTIMATE","Weight estimated. ","")&amp;"")</f>
        <v/>
      </c>
    </row>
    <row r="168">
      <c r="A168" s="19" t="inlineStr">
        <is>
          <t>SWR14-34</t>
        </is>
      </c>
      <c r="B168" s="20">
        <f>IFERROR(INDEX(Conversion!$C$2:$C$500,MATCH($A168,Conversion!$B$2:$B$500,0)),"NOT ASSIGNED")</f>
        <v/>
      </c>
      <c r="C168" s="21" t="inlineStr">
        <is>
          <t>St.st. ball bearing swivel, 1/2" male x 3/4" female, 14mm bore, flat seals</t>
        </is>
      </c>
      <c r="D168" s="22" t="inlineStr">
        <is>
          <t>Ball bearing swivel, 1/2" M x 3/4" F, 14 mm bore, stainless steel 316</t>
        </is>
      </c>
      <c r="E168" s="30" t="n">
        <v>0.13</v>
      </c>
      <c r="F168" s="24" t="inlineStr">
        <is>
          <t>ESTIMATE - catalogue gives dimensions only (p.68-71)</t>
        </is>
      </c>
      <c r="G168" s="25" t="n">
        <v>21.498928</v>
      </c>
      <c r="H168" s="25" t="n">
        <v>18.811562</v>
      </c>
      <c r="I168" s="25" t="n">
        <v>17.467879</v>
      </c>
      <c r="J168" s="27">
        <f>IF(G168="","",G168/$C$5*(1+$C$8)+$E168*(1+$C$7)*$C$6)</f>
        <v/>
      </c>
      <c r="K168" s="27">
        <f>IF(H168="","",H168/$C$5*(1+$C$8)+$E168*(1+$C$7)*$C$6)</f>
        <v/>
      </c>
      <c r="L168" s="27">
        <f>IF(I168="","",I168/$C$5*(1+$C$8)+$E168*(1+$C$7)*$C$6)</f>
        <v/>
      </c>
      <c r="M168" s="28">
        <f>IF(J168="","",ROUND(J168*(1+$C$9),2))</f>
        <v/>
      </c>
      <c r="N168" s="28">
        <f>IF(K168="","",ROUND(K168*(1+$C$9),2))</f>
        <v/>
      </c>
      <c r="O168" s="28">
        <f>IF(L168="","",ROUND(L168*(1+$C$9),2))</f>
        <v/>
      </c>
      <c r="P168" s="29">
        <f>TRIM(IF($B168="NOT ASSIGNED","No NW part no. ","")&amp;IFERROR(IF(INDEX(Conversion!$J$2:$J$500,MATCH($A168,Conversion!$B$2:$B$500,0))="Needs review","Conversion table: needs review. ",""),"")&amp;IF(LEFT($F168,8)="ESTIMATE","Weight estimated. ","")&amp;"")</f>
        <v/>
      </c>
    </row>
    <row r="169">
      <c r="A169" s="19" t="inlineStr">
        <is>
          <t>SWR14-34X34</t>
        </is>
      </c>
      <c r="B169" s="20">
        <f>IFERROR(INDEX(Conversion!$C$2:$C$500,MATCH($A169,Conversion!$B$2:$B$500,0)),"NOT ASSIGNED")</f>
        <v/>
      </c>
      <c r="C169" s="21" t="inlineStr">
        <is>
          <t>St. st. ball bearing swivel, 3/4" male x 3/4" female, 14mm bore, flat seals</t>
        </is>
      </c>
      <c r="D169" s="22" t="inlineStr">
        <is>
          <t>Ball bearing swivel, 3/4" M x 3/4" F, 14 mm bore, stainless steel 316</t>
        </is>
      </c>
      <c r="E169" s="30" t="n">
        <v>0.15</v>
      </c>
      <c r="F169" s="24" t="inlineStr">
        <is>
          <t>ESTIMATE - catalogue gives dimensions only (p.68-71)</t>
        </is>
      </c>
      <c r="G169" s="25" t="n">
        <v>24.948352</v>
      </c>
      <c r="H169" s="25" t="n">
        <v>21.829808</v>
      </c>
      <c r="I169" s="25" t="n">
        <v>20.270536</v>
      </c>
      <c r="J169" s="27">
        <f>IF(G169="","",G169/$C$5*(1+$C$8)+$E169*(1+$C$7)*$C$6)</f>
        <v/>
      </c>
      <c r="K169" s="27">
        <f>IF(H169="","",H169/$C$5*(1+$C$8)+$E169*(1+$C$7)*$C$6)</f>
        <v/>
      </c>
      <c r="L169" s="27">
        <f>IF(I169="","",I169/$C$5*(1+$C$8)+$E169*(1+$C$7)*$C$6)</f>
        <v/>
      </c>
      <c r="M169" s="28">
        <f>IF(J169="","",ROUND(J169*(1+$C$9),2))</f>
        <v/>
      </c>
      <c r="N169" s="28">
        <f>IF(K169="","",ROUND(K169*(1+$C$9),2))</f>
        <v/>
      </c>
      <c r="O169" s="28">
        <f>IF(L169="","",ROUND(L169*(1+$C$9),2))</f>
        <v/>
      </c>
      <c r="P169" s="29">
        <f>TRIM(IF($B169="NOT ASSIGNED","No NW part no. ","")&amp;IFERROR(IF(INDEX(Conversion!$J$2:$J$500,MATCH($A169,Conversion!$B$2:$B$500,0))="Needs review","Conversion table: needs review. ",""),"")&amp;IF(LEFT($F169,8)="ESTIMATE","Weight estimated. ","")&amp;"")</f>
        <v/>
      </c>
    </row>
    <row r="170">
      <c r="A170" s="19" t="inlineStr">
        <is>
          <t>SWR18-1X1</t>
        </is>
      </c>
      <c r="B170" s="20">
        <f>IFERROR(INDEX(Conversion!$C$2:$C$500,MATCH($A170,Conversion!$B$2:$B$500,0)),"NOT ASSIGNED")</f>
        <v/>
      </c>
      <c r="C170" s="21" t="inlineStr">
        <is>
          <t>St.st. ball bearing swivel, 1" male x 1" female, 18mm bore, flat seals</t>
        </is>
      </c>
      <c r="D170" s="22" t="inlineStr">
        <is>
          <t>Ball bearing swivel, 1" M x 1" F, 18 mm bore, stainless steel 316</t>
        </is>
      </c>
      <c r="E170" s="30" t="n">
        <v>0.25</v>
      </c>
      <c r="F170" s="24" t="inlineStr">
        <is>
          <t>ESTIMATE - catalogue gives dimensions only (p.68-71)</t>
        </is>
      </c>
      <c r="G170" s="25" t="n">
        <v>32.451056</v>
      </c>
      <c r="H170" s="25" t="n">
        <v>28.394674</v>
      </c>
      <c r="I170" s="25" t="n">
        <v>26.366483</v>
      </c>
      <c r="J170" s="27">
        <f>IF(G170="","",G170/$C$5*(1+$C$8)+$E170*(1+$C$7)*$C$6)</f>
        <v/>
      </c>
      <c r="K170" s="27">
        <f>IF(H170="","",H170/$C$5*(1+$C$8)+$E170*(1+$C$7)*$C$6)</f>
        <v/>
      </c>
      <c r="L170" s="27">
        <f>IF(I170="","",I170/$C$5*(1+$C$8)+$E170*(1+$C$7)*$C$6)</f>
        <v/>
      </c>
      <c r="M170" s="28">
        <f>IF(J170="","",ROUND(J170*(1+$C$9),2))</f>
        <v/>
      </c>
      <c r="N170" s="28">
        <f>IF(K170="","",ROUND(K170*(1+$C$9),2))</f>
        <v/>
      </c>
      <c r="O170" s="28">
        <f>IF(L170="","",ROUND(L170*(1+$C$9),2))</f>
        <v/>
      </c>
      <c r="P170" s="29">
        <f>TRIM(IF($B170="NOT ASSIGNED","No NW part no. ","")&amp;IFERROR(IF(INDEX(Conversion!$J$2:$J$500,MATCH($A170,Conversion!$B$2:$B$500,0))="Needs review","Conversion table: needs review. ",""),"")&amp;IF(LEFT($F170,8)="ESTIMATE","Weight estimated. ","")&amp;"")</f>
        <v/>
      </c>
    </row>
    <row r="171">
      <c r="A171" s="19" t="inlineStr">
        <is>
          <t>SWR09-12Mx12M</t>
        </is>
      </c>
      <c r="B171" s="20">
        <f>IFERROR(INDEX(Conversion!$C$2:$C$500,MATCH($A171,Conversion!$B$2:$B$500,0)),"NOT ASSIGNED")</f>
        <v/>
      </c>
      <c r="C171" s="21" t="inlineStr">
        <is>
          <t>St.st. ball bearing swivel, 1/2" male x 1/2" male, 9mm bore</t>
        </is>
      </c>
      <c r="D171" s="22" t="inlineStr">
        <is>
          <t>Ball bearing swivel, 1/2" M x 1/2" M, 9 mm bore, stainless steel 316</t>
        </is>
      </c>
      <c r="E171" s="30" t="n">
        <v>0.09</v>
      </c>
      <c r="F171" s="24" t="inlineStr">
        <is>
          <t>ESTIMATE - catalogue gives dimensions only (p.68-71)</t>
        </is>
      </c>
      <c r="G171" s="25" t="n">
        <v>20.746176</v>
      </c>
      <c r="H171" s="25" t="n">
        <v>18.152904</v>
      </c>
      <c r="I171" s="25" t="n">
        <v>16.856268</v>
      </c>
      <c r="J171" s="27">
        <f>IF(G171="","",G171/$C$5*(1+$C$8)+$E171*(1+$C$7)*$C$6)</f>
        <v/>
      </c>
      <c r="K171" s="27">
        <f>IF(H171="","",H171/$C$5*(1+$C$8)+$E171*(1+$C$7)*$C$6)</f>
        <v/>
      </c>
      <c r="L171" s="27">
        <f>IF(I171="","",I171/$C$5*(1+$C$8)+$E171*(1+$C$7)*$C$6)</f>
        <v/>
      </c>
      <c r="M171" s="28">
        <f>IF(J171="","",ROUND(J171*(1+$C$9),2))</f>
        <v/>
      </c>
      <c r="N171" s="28">
        <f>IF(K171="","",ROUND(K171*(1+$C$9),2))</f>
        <v/>
      </c>
      <c r="O171" s="28">
        <f>IF(L171="","",ROUND(L171*(1+$C$9),2))</f>
        <v/>
      </c>
      <c r="P171" s="29">
        <f>TRIM(IF($B171="NOT ASSIGNED","No NW part no. ","")&amp;IFERROR(IF(INDEX(Conversion!$J$2:$J$500,MATCH($A171,Conversion!$B$2:$B$500,0))="Needs review","Conversion table: needs review. ",""),"")&amp;IF(LEFT($F171,8)="ESTIMATE","Weight estimated. ","")&amp;"")</f>
        <v/>
      </c>
    </row>
    <row r="172">
      <c r="A172" s="19" t="inlineStr">
        <is>
          <t>SWR09-12MX34M</t>
        </is>
      </c>
      <c r="B172" s="20">
        <f>IFERROR(INDEX(Conversion!$C$2:$C$500,MATCH($A172,Conversion!$B$2:$B$500,0)),"NOT ASSIGNED")</f>
        <v/>
      </c>
      <c r="C172" s="21" t="inlineStr">
        <is>
          <t>St.st. ball bearing swivel, 1/2" male x 3/4" male, 9mm bore, flat seal</t>
        </is>
      </c>
      <c r="D172" s="22" t="inlineStr">
        <is>
          <t>Ball bearing swivel, 1/2" M x 3/4" M, 9 mm bore, stainless steel 316</t>
        </is>
      </c>
      <c r="E172" s="30" t="n">
        <v>0.1</v>
      </c>
      <c r="F172" s="24" t="inlineStr">
        <is>
          <t>ESTIMATE - catalogue gives dimensions only (p.68-71)</t>
        </is>
      </c>
      <c r="G172" s="25" t="n">
        <v>20.746176</v>
      </c>
      <c r="H172" s="25" t="n">
        <v>18.152904</v>
      </c>
      <c r="I172" s="25" t="n">
        <v>16.856268</v>
      </c>
      <c r="J172" s="27">
        <f>IF(G172="","",G172/$C$5*(1+$C$8)+$E172*(1+$C$7)*$C$6)</f>
        <v/>
      </c>
      <c r="K172" s="27">
        <f>IF(H172="","",H172/$C$5*(1+$C$8)+$E172*(1+$C$7)*$C$6)</f>
        <v/>
      </c>
      <c r="L172" s="27">
        <f>IF(I172="","",I172/$C$5*(1+$C$8)+$E172*(1+$C$7)*$C$6)</f>
        <v/>
      </c>
      <c r="M172" s="28">
        <f>IF(J172="","",ROUND(J172*(1+$C$9),2))</f>
        <v/>
      </c>
      <c r="N172" s="28">
        <f>IF(K172="","",ROUND(K172*(1+$C$9),2))</f>
        <v/>
      </c>
      <c r="O172" s="28">
        <f>IF(L172="","",ROUND(L172*(1+$C$9),2))</f>
        <v/>
      </c>
      <c r="P172" s="29">
        <f>TRIM(IF($B172="NOT ASSIGNED","No NW part no. ","")&amp;IFERROR(IF(INDEX(Conversion!$J$2:$J$500,MATCH($A172,Conversion!$B$2:$B$500,0))="Needs review","Conversion table: needs review. ",""),"")&amp;IF(LEFT($F172,8)="ESTIMATE","Weight estimated. ","")&amp;"")</f>
        <v/>
      </c>
    </row>
    <row r="174">
      <c r="A174" s="14" t="inlineStr">
        <is>
          <t>Swiveling hose tails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</row>
    <row r="176">
      <c r="A176" s="16" t="inlineStr">
        <is>
          <t>Qty break</t>
        </is>
      </c>
      <c r="B176" s="17" t="n"/>
      <c r="C176" s="17" t="n"/>
      <c r="D176" s="17" t="n"/>
      <c r="E176" s="17" t="n"/>
      <c r="F176" s="17" t="n"/>
      <c r="G176" s="18" t="inlineStr">
        <is>
          <t>&lt; 10 pcs</t>
        </is>
      </c>
      <c r="H176" s="18" t="inlineStr">
        <is>
          <t>≥ 10 pcs</t>
        </is>
      </c>
      <c r="I176" s="18" t="inlineStr">
        <is>
          <t>≥ 50 pcs</t>
        </is>
      </c>
      <c r="J176" s="18" t="inlineStr">
        <is>
          <t>&lt; 10 pcs</t>
        </is>
      </c>
      <c r="K176" s="18" t="inlineStr">
        <is>
          <t>≥ 10 pcs</t>
        </is>
      </c>
      <c r="L176" s="18" t="inlineStr">
        <is>
          <t>≥ 50 pcs</t>
        </is>
      </c>
      <c r="M176" s="18" t="inlineStr">
        <is>
          <t>&lt; 10 pcs</t>
        </is>
      </c>
      <c r="N176" s="18" t="inlineStr">
        <is>
          <t>≥ 10 pcs</t>
        </is>
      </c>
      <c r="O176" s="18" t="inlineStr">
        <is>
          <t>≥ 50 pcs</t>
        </is>
      </c>
      <c r="P176" s="17" t="n"/>
    </row>
    <row r="177">
      <c r="A177" s="31" t="inlineStr">
        <is>
          <t>Up to 24 bar</t>
        </is>
      </c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  <c r="N177" s="32" t="n"/>
      <c r="O177" s="32" t="n"/>
      <c r="P177" s="32" t="n"/>
    </row>
    <row r="179">
      <c r="A179" s="19" t="inlineStr">
        <is>
          <t>SWIFM1/2</t>
        </is>
      </c>
      <c r="B179" s="20">
        <f>IFERROR(INDEX(Conversion!$C$2:$C$500,MATCH($A179,Conversion!$B$2:$B$500,0)),"NOT ASSIGNED")</f>
        <v/>
      </c>
      <c r="C179" s="21" t="inlineStr">
        <is>
          <t>Brass swivelling hose tail 13mm x 1/2" male</t>
        </is>
      </c>
      <c r="D179" s="22" t="inlineStr">
        <is>
          <t>Swivel hose tail, 13 mm x 1/2" M, brass</t>
        </is>
      </c>
      <c r="E179" s="30" t="n">
        <v>0.06</v>
      </c>
      <c r="F179" s="24" t="inlineStr">
        <is>
          <t>ESTIMATE - catalogue gives dimensions only (p.68-71)</t>
        </is>
      </c>
      <c r="G179" s="25" t="n">
        <v>4.061552</v>
      </c>
      <c r="H179" s="25" t="n">
        <v>3.553858</v>
      </c>
      <c r="I179" s="25" t="n">
        <v>3.300011</v>
      </c>
      <c r="J179" s="27">
        <f>IF(G179="","",G179/$C$5*(1+$C$8)+$E179*(1+$C$7)*$C$6)</f>
        <v/>
      </c>
      <c r="K179" s="27">
        <f>IF(H179="","",H179/$C$5*(1+$C$8)+$E179*(1+$C$7)*$C$6)</f>
        <v/>
      </c>
      <c r="L179" s="27">
        <f>IF(I179="","",I179/$C$5*(1+$C$8)+$E179*(1+$C$7)*$C$6)</f>
        <v/>
      </c>
      <c r="M179" s="28">
        <f>IF(J179="","",ROUND(J179*(1+$C$9),2))</f>
        <v/>
      </c>
      <c r="N179" s="28">
        <f>IF(K179="","",ROUND(K179*(1+$C$9),2))</f>
        <v/>
      </c>
      <c r="O179" s="28">
        <f>IF(L179="","",ROUND(L179*(1+$C$9),2))</f>
        <v/>
      </c>
      <c r="P179" s="29">
        <f>TRIM(IF($B179="NOT ASSIGNED","No NW part no. ","")&amp;IFERROR(IF(INDEX(Conversion!$J$2:$J$500,MATCH($A179,Conversion!$B$2:$B$500,0))="Needs review","Conversion table: needs review. ",""),"")&amp;IF(LEFT($F179,8)="ESTIMATE","Weight estimated. ","")&amp;"")</f>
        <v/>
      </c>
    </row>
    <row r="180">
      <c r="A180" s="19" t="inlineStr">
        <is>
          <t>SWIFR1/2</t>
        </is>
      </c>
      <c r="B180" s="20">
        <f>IFERROR(INDEX(Conversion!$C$2:$C$500,MATCH($A180,Conversion!$B$2:$B$500,0)),"NOT ASSIGNED")</f>
        <v/>
      </c>
      <c r="C180" s="21" t="inlineStr">
        <is>
          <t>Stainless steel swivelling hose tail 13mm x 1/2" male</t>
        </is>
      </c>
      <c r="D180" s="22" t="inlineStr">
        <is>
          <t>Swivel hose tail, 13 mm x 1/2" M, stainless steel 316</t>
        </is>
      </c>
      <c r="E180" s="30" t="n">
        <v>0.06</v>
      </c>
      <c r="F180" s="24" t="inlineStr">
        <is>
          <t>ESTIMATE - catalogue gives dimensions only (p.68-71)</t>
        </is>
      </c>
      <c r="G180" s="25" t="n">
        <v>12.176384</v>
      </c>
      <c r="H180" s="25" t="n">
        <v>10.654336</v>
      </c>
      <c r="I180" s="25" t="n">
        <v>9.893312</v>
      </c>
      <c r="J180" s="27">
        <f>IF(G180="","",G180/$C$5*(1+$C$8)+$E180*(1+$C$7)*$C$6)</f>
        <v/>
      </c>
      <c r="K180" s="27">
        <f>IF(H180="","",H180/$C$5*(1+$C$8)+$E180*(1+$C$7)*$C$6)</f>
        <v/>
      </c>
      <c r="L180" s="27">
        <f>IF(I180="","",I180/$C$5*(1+$C$8)+$E180*(1+$C$7)*$C$6)</f>
        <v/>
      </c>
      <c r="M180" s="28">
        <f>IF(J180="","",ROUND(J180*(1+$C$9),2))</f>
        <v/>
      </c>
      <c r="N180" s="28">
        <f>IF(K180="","",ROUND(K180*(1+$C$9),2))</f>
        <v/>
      </c>
      <c r="O180" s="28">
        <f>IF(L180="","",ROUND(L180*(1+$C$9),2))</f>
        <v/>
      </c>
      <c r="P180" s="29">
        <f>TRIM(IF($B180="NOT ASSIGNED","No NW part no. ","")&amp;IFERROR(IF(INDEX(Conversion!$J$2:$J$500,MATCH($A180,Conversion!$B$2:$B$500,0))="Needs review","Conversion table: needs review. ",""),"")&amp;IF(LEFT($F180,8)="ESTIMATE","Weight estimated. ","")&amp;"")</f>
        <v/>
      </c>
    </row>
    <row r="182">
      <c r="A182" s="31" t="inlineStr">
        <is>
          <t>Up to 40 bar with full bore</t>
        </is>
      </c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  <c r="O182" s="32" t="n"/>
      <c r="P182" s="32" t="n"/>
    </row>
    <row r="184">
      <c r="A184" s="19" t="inlineStr">
        <is>
          <t>SWIFB10</t>
        </is>
      </c>
      <c r="B184" s="20">
        <f>IFERROR(INDEX(Conversion!$C$2:$C$500,MATCH($A184,Conversion!$B$2:$B$500,0)),"NOT ASSIGNED")</f>
        <v/>
      </c>
      <c r="C184" s="21" t="inlineStr">
        <is>
          <t>St.st. full bore swivelling hose tail, 10mm x 1/2" BSPT male</t>
        </is>
      </c>
      <c r="D184" s="22" t="inlineStr">
        <is>
          <t>Swivel hose tail, full bore, 10 mm x 1/2" BSPT M, stainless steel 316</t>
        </is>
      </c>
      <c r="E184" s="30" t="n">
        <v>0.08</v>
      </c>
      <c r="F184" s="24" t="inlineStr">
        <is>
          <t>ESTIMATE - catalogue gives dimensions only (p.68-71)</t>
        </is>
      </c>
      <c r="G184" s="25" t="n">
        <v>16.436464</v>
      </c>
      <c r="H184" s="25" t="n">
        <v>14.381906</v>
      </c>
      <c r="I184" s="25" t="n">
        <v>13.354627</v>
      </c>
      <c r="J184" s="27">
        <f>IF(G184="","",G184/$C$5*(1+$C$8)+$E184*(1+$C$7)*$C$6)</f>
        <v/>
      </c>
      <c r="K184" s="27">
        <f>IF(H184="","",H184/$C$5*(1+$C$8)+$E184*(1+$C$7)*$C$6)</f>
        <v/>
      </c>
      <c r="L184" s="27">
        <f>IF(I184="","",I184/$C$5*(1+$C$8)+$E184*(1+$C$7)*$C$6)</f>
        <v/>
      </c>
      <c r="M184" s="28">
        <f>IF(J184="","",ROUND(J184*(1+$C$9),2))</f>
        <v/>
      </c>
      <c r="N184" s="28">
        <f>IF(K184="","",ROUND(K184*(1+$C$9),2))</f>
        <v/>
      </c>
      <c r="O184" s="28">
        <f>IF(L184="","",ROUND(L184*(1+$C$9),2))</f>
        <v/>
      </c>
      <c r="P184" s="29">
        <f>TRIM(IF($B184="NOT ASSIGNED","No NW part no. ","")&amp;IFERROR(IF(INDEX(Conversion!$J$2:$J$500,MATCH($A184,Conversion!$B$2:$B$500,0))="Needs review","Conversion table: needs review. ",""),"")&amp;IF(LEFT($F184,8)="ESTIMATE","Weight estimated. ","")&amp;"")</f>
        <v/>
      </c>
    </row>
    <row r="185">
      <c r="A185" s="19" t="inlineStr">
        <is>
          <t>SWIFB13-C17</t>
        </is>
      </c>
      <c r="B185" s="20">
        <f>IFERROR(INDEX(Conversion!$C$2:$C$500,MATCH($A185,Conversion!$B$2:$B$500,0)),"NOT ASSIGNED")</f>
        <v/>
      </c>
      <c r="C185" s="21" t="inlineStr">
        <is>
          <t>St.st. full bore swivelling hose tail, 13mm x 1/2" male, 17mm collar</t>
        </is>
      </c>
      <c r="D185" s="22" t="inlineStr">
        <is>
          <t>Swivel hose tail, full bore, 13 mm x 1/2" M, 17 mm collar, stainless steel 316</t>
        </is>
      </c>
      <c r="E185" s="30" t="n">
        <v>0.09</v>
      </c>
      <c r="F185" s="24" t="inlineStr">
        <is>
          <t>ESTIMATE - catalogue gives dimensions only (p.68-71)</t>
        </is>
      </c>
      <c r="G185" s="25" t="n">
        <v>18.967696</v>
      </c>
      <c r="H185" s="25" t="n">
        <v>16.596734</v>
      </c>
      <c r="I185" s="25" t="n">
        <v>15.411253</v>
      </c>
      <c r="J185" s="27">
        <f>IF(G185="","",G185/$C$5*(1+$C$8)+$E185*(1+$C$7)*$C$6)</f>
        <v/>
      </c>
      <c r="K185" s="27">
        <f>IF(H185="","",H185/$C$5*(1+$C$8)+$E185*(1+$C$7)*$C$6)</f>
        <v/>
      </c>
      <c r="L185" s="27">
        <f>IF(I185="","",I185/$C$5*(1+$C$8)+$E185*(1+$C$7)*$C$6)</f>
        <v/>
      </c>
      <c r="M185" s="28">
        <f>IF(J185="","",ROUND(J185*(1+$C$9),2))</f>
        <v/>
      </c>
      <c r="N185" s="28">
        <f>IF(K185="","",ROUND(K185*(1+$C$9),2))</f>
        <v/>
      </c>
      <c r="O185" s="28">
        <f>IF(L185="","",ROUND(L185*(1+$C$9),2))</f>
        <v/>
      </c>
      <c r="P185" s="29">
        <f>TRIM(IF($B185="NOT ASSIGNED","No NW part no. ","")&amp;IFERROR(IF(INDEX(Conversion!$J$2:$J$500,MATCH($A185,Conversion!$B$2:$B$500,0))="Needs review","Conversion table: needs review. ",""),"")&amp;IF(LEFT($F185,8)="ESTIMATE","Weight estimated. ","")&amp;"")</f>
        <v/>
      </c>
    </row>
    <row r="186">
      <c r="A186" s="19" t="inlineStr">
        <is>
          <t>SWIFB13-C17-SP</t>
        </is>
      </c>
      <c r="B186" s="20">
        <f>IFERROR(INDEX(Conversion!$C$2:$C$500,MATCH($A186,Conversion!$B$2:$B$500,0)),"NOT ASSIGNED")</f>
        <v/>
      </c>
      <c r="C186" s="21" t="inlineStr">
        <is>
          <t>St.st. full bore swivelling hose tail, 13mm x 1/2" male, 17mm collar, inside hose protection spring.</t>
        </is>
      </c>
      <c r="D186" s="22" t="inlineStr">
        <is>
          <t>Swivel hose tail, full bore, 13 mm x 1/2" M, 17 mm collar, w/ anti-kink spring, stainless steel 316</t>
        </is>
      </c>
      <c r="E186" s="30" t="n">
        <v>0.13</v>
      </c>
      <c r="F186" s="24" t="inlineStr">
        <is>
          <t>ESTIMATE - catalogue gives dimensions only (p.68-71)</t>
        </is>
      </c>
      <c r="G186" s="25" t="n">
        <v>24.336224</v>
      </c>
      <c r="H186" s="25" t="n">
        <v>21.294196</v>
      </c>
      <c r="I186" s="25" t="n">
        <v>19.773182</v>
      </c>
      <c r="J186" s="27">
        <f>IF(G186="","",G186/$C$5*(1+$C$8)+$E186*(1+$C$7)*$C$6)</f>
        <v/>
      </c>
      <c r="K186" s="27">
        <f>IF(H186="","",H186/$C$5*(1+$C$8)+$E186*(1+$C$7)*$C$6)</f>
        <v/>
      </c>
      <c r="L186" s="27">
        <f>IF(I186="","",I186/$C$5*(1+$C$8)+$E186*(1+$C$7)*$C$6)</f>
        <v/>
      </c>
      <c r="M186" s="28">
        <f>IF(J186="","",ROUND(J186*(1+$C$9),2))</f>
        <v/>
      </c>
      <c r="N186" s="28">
        <f>IF(K186="","",ROUND(K186*(1+$C$9),2))</f>
        <v/>
      </c>
      <c r="O186" s="28">
        <f>IF(L186="","",ROUND(L186*(1+$C$9),2))</f>
        <v/>
      </c>
      <c r="P186" s="29">
        <f>TRIM(IF($B186="NOT ASSIGNED","No NW part no. ","")&amp;IFERROR(IF(INDEX(Conversion!$J$2:$J$500,MATCH($A186,Conversion!$B$2:$B$500,0))="Needs review","Conversion table: needs review. ",""),"")&amp;IF(LEFT($F186,8)="ESTIMATE","Weight estimated. ","")&amp;"")</f>
        <v/>
      </c>
    </row>
    <row r="187">
      <c r="A187" s="19" t="inlineStr">
        <is>
          <t>SWIFB13-C20</t>
        </is>
      </c>
      <c r="B187" s="20">
        <f>IFERROR(INDEX(Conversion!$C$2:$C$500,MATCH($A187,Conversion!$B$2:$B$500,0)),"NOT ASSIGNED")</f>
        <v/>
      </c>
      <c r="C187" s="21" t="inlineStr">
        <is>
          <t>St.st. full bore swivelling hose tail, 13mm x 1/2" male, 20mm collar</t>
        </is>
      </c>
      <c r="D187" s="22" t="inlineStr">
        <is>
          <t>Swivel hose tail, full bore, 13 mm x 1/2" M, 20 mm collar, stainless steel 316</t>
        </is>
      </c>
      <c r="E187" s="30" t="n">
        <v>0.09</v>
      </c>
      <c r="F187" s="24" t="inlineStr">
        <is>
          <t>ESTIMATE - catalogue gives dimensions only (p.68-71)</t>
        </is>
      </c>
      <c r="G187" s="25" t="n">
        <v>18.967696</v>
      </c>
      <c r="H187" s="25" t="n">
        <v>16.596734</v>
      </c>
      <c r="I187" s="25" t="n">
        <v>15.411253</v>
      </c>
      <c r="J187" s="27">
        <f>IF(G187="","",G187/$C$5*(1+$C$8)+$E187*(1+$C$7)*$C$6)</f>
        <v/>
      </c>
      <c r="K187" s="27">
        <f>IF(H187="","",H187/$C$5*(1+$C$8)+$E187*(1+$C$7)*$C$6)</f>
        <v/>
      </c>
      <c r="L187" s="27">
        <f>IF(I187="","",I187/$C$5*(1+$C$8)+$E187*(1+$C$7)*$C$6)</f>
        <v/>
      </c>
      <c r="M187" s="28">
        <f>IF(J187="","",ROUND(J187*(1+$C$9),2))</f>
        <v/>
      </c>
      <c r="N187" s="28">
        <f>IF(K187="","",ROUND(K187*(1+$C$9),2))</f>
        <v/>
      </c>
      <c r="O187" s="28">
        <f>IF(L187="","",ROUND(L187*(1+$C$9),2))</f>
        <v/>
      </c>
      <c r="P187" s="29">
        <f>TRIM(IF($B187="NOT ASSIGNED","No NW part no. ","")&amp;IFERROR(IF(INDEX(Conversion!$J$2:$J$500,MATCH($A187,Conversion!$B$2:$B$500,0))="Needs review","Conversion table: needs review. ",""),"")&amp;IF(LEFT($F187,8)="ESTIMATE","Weight estimated. ","")&amp;"")</f>
        <v/>
      </c>
    </row>
    <row r="188">
      <c r="A188" s="19" t="inlineStr">
        <is>
          <t>SWIFB13-C20-SP</t>
        </is>
      </c>
      <c r="B188" s="20">
        <f>IFERROR(INDEX(Conversion!$C$2:$C$500,MATCH($A188,Conversion!$B$2:$B$500,0)),"NOT ASSIGNED")</f>
        <v/>
      </c>
      <c r="C188" s="21" t="inlineStr">
        <is>
          <t>St.st. full bore swivelling hose tail, 13mm x 1/2" male, 20mm collar, inside hose protection spring</t>
        </is>
      </c>
      <c r="D188" s="22" t="inlineStr">
        <is>
          <t>Swivel hose tail, full bore, 13 mm x 1/2" M, 20 mm collar, w/ anti-kink spring, stainless steel 316</t>
        </is>
      </c>
      <c r="E188" s="30" t="n">
        <v>0.13</v>
      </c>
      <c r="F188" s="24" t="inlineStr">
        <is>
          <t>ESTIMATE - catalogue gives dimensions only (p.68-71)</t>
        </is>
      </c>
      <c r="G188" s="25" t="n">
        <v>24.336224</v>
      </c>
      <c r="H188" s="25" t="n">
        <v>21.294196</v>
      </c>
      <c r="I188" s="25" t="n">
        <v>19.773182</v>
      </c>
      <c r="J188" s="27">
        <f>IF(G188="","",G188/$C$5*(1+$C$8)+$E188*(1+$C$7)*$C$6)</f>
        <v/>
      </c>
      <c r="K188" s="27">
        <f>IF(H188="","",H188/$C$5*(1+$C$8)+$E188*(1+$C$7)*$C$6)</f>
        <v/>
      </c>
      <c r="L188" s="27">
        <f>IF(I188="","",I188/$C$5*(1+$C$8)+$E188*(1+$C$7)*$C$6)</f>
        <v/>
      </c>
      <c r="M188" s="28">
        <f>IF(J188="","",ROUND(J188*(1+$C$9),2))</f>
        <v/>
      </c>
      <c r="N188" s="28">
        <f>IF(K188="","",ROUND(K188*(1+$C$9),2))</f>
        <v/>
      </c>
      <c r="O188" s="28">
        <f>IF(L188="","",ROUND(L188*(1+$C$9),2))</f>
        <v/>
      </c>
      <c r="P188" s="29">
        <f>TRIM(IF($B188="NOT ASSIGNED","No NW part no. ","")&amp;IFERROR(IF(INDEX(Conversion!$J$2:$J$500,MATCH($A188,Conversion!$B$2:$B$500,0))="Needs review","Conversion table: needs review. ",""),"")&amp;IF(LEFT($F188,8)="ESTIMATE","Weight estimated. ","")&amp;"")</f>
        <v/>
      </c>
    </row>
    <row r="189">
      <c r="A189" s="19" t="inlineStr">
        <is>
          <t>SWIFB16-C21</t>
        </is>
      </c>
      <c r="B189" s="20">
        <f>IFERROR(INDEX(Conversion!$C$2:$C$500,MATCH($A189,Conversion!$B$2:$B$500,0)),"NOT ASSIGNED")</f>
        <v/>
      </c>
      <c r="C189" s="21" t="inlineStr">
        <is>
          <t>St.st. full bore swivelling hose tail, 16mm x 1/2" male, 21mm collar</t>
        </is>
      </c>
      <c r="D189" s="22" t="inlineStr">
        <is>
          <t>Swivel hose tail, full bore, 16 mm x 1/2" M, 21 mm collar, stainless steel 316</t>
        </is>
      </c>
      <c r="E189" s="30" t="n">
        <v>0.1</v>
      </c>
      <c r="F189" s="24" t="inlineStr">
        <is>
          <t>ESTIMATE - catalogue gives dimensions only (p.68-71)</t>
        </is>
      </c>
      <c r="G189" s="25" t="n">
        <v>18.967696</v>
      </c>
      <c r="H189" s="25" t="n">
        <v>16.596734</v>
      </c>
      <c r="I189" s="25" t="n">
        <v>15.411253</v>
      </c>
      <c r="J189" s="27">
        <f>IF(G189="","",G189/$C$5*(1+$C$8)+$E189*(1+$C$7)*$C$6)</f>
        <v/>
      </c>
      <c r="K189" s="27">
        <f>IF(H189="","",H189/$C$5*(1+$C$8)+$E189*(1+$C$7)*$C$6)</f>
        <v/>
      </c>
      <c r="L189" s="27">
        <f>IF(I189="","",I189/$C$5*(1+$C$8)+$E189*(1+$C$7)*$C$6)</f>
        <v/>
      </c>
      <c r="M189" s="28">
        <f>IF(J189="","",ROUND(J189*(1+$C$9),2))</f>
        <v/>
      </c>
      <c r="N189" s="28">
        <f>IF(K189="","",ROUND(K189*(1+$C$9),2))</f>
        <v/>
      </c>
      <c r="O189" s="28">
        <f>IF(L189="","",ROUND(L189*(1+$C$9),2))</f>
        <v/>
      </c>
      <c r="P189" s="29">
        <f>TRIM(IF($B189="NOT ASSIGNED","No NW part no. ","")&amp;IFERROR(IF(INDEX(Conversion!$J$2:$J$500,MATCH($A189,Conversion!$B$2:$B$500,0))="Needs review","Conversion table: needs review. ",""),"")&amp;IF(LEFT($F189,8)="ESTIMATE","Weight estimated. ","")&amp;"")</f>
        <v/>
      </c>
    </row>
    <row r="190">
      <c r="A190" s="19" t="inlineStr">
        <is>
          <t>SWIFB16-C21-SP</t>
        </is>
      </c>
      <c r="B190" s="20">
        <f>IFERROR(INDEX(Conversion!$C$2:$C$500,MATCH($A190,Conversion!$B$2:$B$500,0)),"NOT ASSIGNED")</f>
        <v/>
      </c>
      <c r="C190" s="21" t="inlineStr">
        <is>
          <t>St.st. full bore swivelling hose tail, 16mm x 1/2" male, 21mm collar, inside hose protection spring</t>
        </is>
      </c>
      <c r="D190" s="22" t="inlineStr">
        <is>
          <t>Swivel hose tail, full bore, 16 mm x 1/2" M, 21 mm collar, w/ anti-kink spring, stainless steel 316</t>
        </is>
      </c>
      <c r="E190" s="30" t="n">
        <v>0.14</v>
      </c>
      <c r="F190" s="24" t="inlineStr">
        <is>
          <t>ESTIMATE - catalogue gives dimensions only (p.68-71)</t>
        </is>
      </c>
      <c r="G190" s="25" t="n">
        <v>24.336224</v>
      </c>
      <c r="H190" s="25" t="n">
        <v>21.294196</v>
      </c>
      <c r="I190" s="25" t="n">
        <v>19.773182</v>
      </c>
      <c r="J190" s="27">
        <f>IF(G190="","",G190/$C$5*(1+$C$8)+$E190*(1+$C$7)*$C$6)</f>
        <v/>
      </c>
      <c r="K190" s="27">
        <f>IF(H190="","",H190/$C$5*(1+$C$8)+$E190*(1+$C$7)*$C$6)</f>
        <v/>
      </c>
      <c r="L190" s="27">
        <f>IF(I190="","",I190/$C$5*(1+$C$8)+$E190*(1+$C$7)*$C$6)</f>
        <v/>
      </c>
      <c r="M190" s="28">
        <f>IF(J190="","",ROUND(J190*(1+$C$9),2))</f>
        <v/>
      </c>
      <c r="N190" s="28">
        <f>IF(K190="","",ROUND(K190*(1+$C$9),2))</f>
        <v/>
      </c>
      <c r="O190" s="28">
        <f>IF(L190="","",ROUND(L190*(1+$C$9),2))</f>
        <v/>
      </c>
      <c r="P190" s="29">
        <f>TRIM(IF($B190="NOT ASSIGNED","No NW part no. ","")&amp;IFERROR(IF(INDEX(Conversion!$J$2:$J$500,MATCH($A190,Conversion!$B$2:$B$500,0))="Needs review","Conversion table: needs review. ",""),"")&amp;IF(LEFT($F190,8)="ESTIMATE","Weight estimated. ","")&amp;"")</f>
        <v/>
      </c>
    </row>
    <row r="191">
      <c r="A191" s="19" t="inlineStr">
        <is>
          <t>SWIFB19-C24</t>
        </is>
      </c>
      <c r="B191" s="20">
        <f>IFERROR(INDEX(Conversion!$C$2:$C$500,MATCH($A191,Conversion!$B$2:$B$500,0)),"NOT ASSIGNED")</f>
        <v/>
      </c>
      <c r="C191" s="21" t="inlineStr">
        <is>
          <t>St.st. full bore swivelling hose tail, 19mm x 1/2" male, 24mm collar</t>
        </is>
      </c>
      <c r="D191" s="22" t="inlineStr">
        <is>
          <t>Swivel hose tail, full bore, 19 mm x 1/2" M, 24 mm collar, stainless steel 316</t>
        </is>
      </c>
      <c r="E191" s="30" t="n">
        <v>0.12</v>
      </c>
      <c r="F191" s="24" t="inlineStr">
        <is>
          <t>ESTIMATE - catalogue gives dimensions only (p.68-71)</t>
        </is>
      </c>
      <c r="G191" s="25" t="n">
        <v>21.3004</v>
      </c>
      <c r="H191" s="25" t="n">
        <v>18.63785</v>
      </c>
      <c r="I191" s="25" t="n">
        <v>17.306575</v>
      </c>
      <c r="J191" s="27">
        <f>IF(G191="","",G191/$C$5*(1+$C$8)+$E191*(1+$C$7)*$C$6)</f>
        <v/>
      </c>
      <c r="K191" s="27">
        <f>IF(H191="","",H191/$C$5*(1+$C$8)+$E191*(1+$C$7)*$C$6)</f>
        <v/>
      </c>
      <c r="L191" s="27">
        <f>IF(I191="","",I191/$C$5*(1+$C$8)+$E191*(1+$C$7)*$C$6)</f>
        <v/>
      </c>
      <c r="M191" s="28">
        <f>IF(J191="","",ROUND(J191*(1+$C$9),2))</f>
        <v/>
      </c>
      <c r="N191" s="28">
        <f>IF(K191="","",ROUND(K191*(1+$C$9),2))</f>
        <v/>
      </c>
      <c r="O191" s="28">
        <f>IF(L191="","",ROUND(L191*(1+$C$9),2))</f>
        <v/>
      </c>
      <c r="P191" s="29">
        <f>TRIM(IF($B191="NOT ASSIGNED","No NW part no. ","")&amp;IFERROR(IF(INDEX(Conversion!$J$2:$J$500,MATCH($A191,Conversion!$B$2:$B$500,0))="Needs review","Conversion table: needs review. ",""),"")&amp;IF(LEFT($F191,8)="ESTIMATE","Weight estimated. ","")&amp;"")</f>
        <v/>
      </c>
    </row>
    <row r="192">
      <c r="A192" s="19" t="inlineStr">
        <is>
          <t>SWIFB19-C24-34</t>
        </is>
      </c>
      <c r="B192" s="20">
        <f>IFERROR(INDEX(Conversion!$C$2:$C$500,MATCH($A192,Conversion!$B$2:$B$500,0)),"NOT ASSIGNED")</f>
        <v/>
      </c>
      <c r="C192" s="21" t="inlineStr">
        <is>
          <t>St.st. full bore swivelling hose tail, 19mm x 3/4" male, 24mm collar</t>
        </is>
      </c>
      <c r="D192" s="22" t="inlineStr">
        <is>
          <t>Swivel hose tail, full bore, 19 mm x 3/4" M, 24 mm collar, stainless steel 316</t>
        </is>
      </c>
      <c r="E192" s="30" t="n">
        <v>0.13</v>
      </c>
      <c r="F192" s="24" t="inlineStr">
        <is>
          <t>ESTIMATE - catalogue gives dimensions only (p.68-71)</t>
        </is>
      </c>
      <c r="G192" s="25" t="n">
        <v>22.317856</v>
      </c>
      <c r="H192" s="25" t="n">
        <v>19.528124</v>
      </c>
      <c r="I192" s="25" t="n">
        <v>18.133258</v>
      </c>
      <c r="J192" s="27">
        <f>IF(G192="","",G192/$C$5*(1+$C$8)+$E192*(1+$C$7)*$C$6)</f>
        <v/>
      </c>
      <c r="K192" s="27">
        <f>IF(H192="","",H192/$C$5*(1+$C$8)+$E192*(1+$C$7)*$C$6)</f>
        <v/>
      </c>
      <c r="L192" s="27">
        <f>IF(I192="","",I192/$C$5*(1+$C$8)+$E192*(1+$C$7)*$C$6)</f>
        <v/>
      </c>
      <c r="M192" s="28">
        <f>IF(J192="","",ROUND(J192*(1+$C$9),2))</f>
        <v/>
      </c>
      <c r="N192" s="28">
        <f>IF(K192="","",ROUND(K192*(1+$C$9),2))</f>
        <v/>
      </c>
      <c r="O192" s="28">
        <f>IF(L192="","",ROUND(L192*(1+$C$9),2))</f>
        <v/>
      </c>
      <c r="P192" s="29">
        <f>TRIM(IF($B192="NOT ASSIGNED","No NW part no. ","")&amp;IFERROR(IF(INDEX(Conversion!$J$2:$J$500,MATCH($A192,Conversion!$B$2:$B$500,0))="Needs review","Conversion table: needs review. ",""),"")&amp;IF(LEFT($F192,8)="ESTIMATE","Weight estimated. ","")&amp;"")</f>
        <v/>
      </c>
    </row>
    <row r="193">
      <c r="A193" s="19" t="inlineStr">
        <is>
          <t>SWIFB19-C24-34S</t>
        </is>
      </c>
      <c r="B193" s="20">
        <f>IFERROR(INDEX(Conversion!$C$2:$C$500,MATCH($A193,Conversion!$B$2:$B$500,0)),"NOT ASSIGNED")</f>
        <v/>
      </c>
      <c r="C193" s="21" t="inlineStr">
        <is>
          <t>St.st. full bore swivelling hose tail, 19mm x 3/4" male, 24mm collar, inside hose protection spring</t>
        </is>
      </c>
      <c r="D193" s="22" t="inlineStr">
        <is>
          <t>Swivel hose tail, full bore, 19 mm x 3/4" M, 24 mm collar, w/ anti-kink spring, stainless steel 316</t>
        </is>
      </c>
      <c r="E193" s="30" t="n">
        <v>0.17</v>
      </c>
      <c r="F193" s="24" t="inlineStr">
        <is>
          <t>ESTIMATE - catalogue gives dimensions only (p.68-71)</t>
        </is>
      </c>
      <c r="G193" s="25" t="n">
        <v>33.26</v>
      </c>
      <c r="H193" s="26" t="n"/>
      <c r="I193" s="26" t="n"/>
      <c r="J193" s="27">
        <f>IF(G193="","",G193/$C$5*(1+$C$8)+$E193*(1+$C$7)*$C$6)</f>
        <v/>
      </c>
      <c r="K193" s="27">
        <f>IF(H193="","",H193/$C$5*(1+$C$8)+$E193*(1+$C$7)*$C$6)</f>
        <v/>
      </c>
      <c r="L193" s="27">
        <f>IF(I193="","",I193/$C$5*(1+$C$8)+$E193*(1+$C$7)*$C$6)</f>
        <v/>
      </c>
      <c r="M193" s="28">
        <f>IF(J193="","",ROUND(J193*(1+$C$9),2))</f>
        <v/>
      </c>
      <c r="N193" s="28">
        <f>IF(K193="","",ROUND(K193*(1+$C$9),2))</f>
        <v/>
      </c>
      <c r="O193" s="28">
        <f>IF(L193="","",ROUND(L193*(1+$C$9),2))</f>
        <v/>
      </c>
      <c r="P193" s="29">
        <f>TRIM(IF($B193="NOT ASSIGNED","No NW part no. ","")&amp;IFERROR(IF(INDEX(Conversion!$J$2:$J$500,MATCH($A193,Conversion!$B$2:$B$500,0))="Needs review","Conversion table: needs review. ",""),"")&amp;IF(LEFT($F193,8)="ESTIMATE","Weight estimated. ","")&amp;"")</f>
        <v/>
      </c>
    </row>
    <row r="194">
      <c r="A194" s="19" t="inlineStr">
        <is>
          <t>SWIFB19-C24-SP</t>
        </is>
      </c>
      <c r="B194" s="20">
        <f>IFERROR(INDEX(Conversion!$C$2:$C$500,MATCH($A194,Conversion!$B$2:$B$500,0)),"NOT ASSIGNED")</f>
        <v/>
      </c>
      <c r="C194" s="21" t="inlineStr">
        <is>
          <t>St.st. full bore swivelling hose tail, 19mm x 1/2" male, 24mm collar, inside hose protection spring</t>
        </is>
      </c>
      <c r="D194" s="22" t="inlineStr">
        <is>
          <t>Swivel hose tail, full bore, 19 mm x 1/2" M, 24 mm collar, w/ anti-kink spring, stainless steel 316</t>
        </is>
      </c>
      <c r="E194" s="30" t="n">
        <v>0.16</v>
      </c>
      <c r="F194" s="24" t="inlineStr">
        <is>
          <t>ESTIMATE - catalogue gives dimensions only (p.68-71)</t>
        </is>
      </c>
      <c r="G194" s="25" t="n">
        <v>25.35368</v>
      </c>
      <c r="H194" s="25" t="n">
        <v>22.18447</v>
      </c>
      <c r="I194" s="25" t="n">
        <v>20.599865</v>
      </c>
      <c r="J194" s="27">
        <f>IF(G194="","",G194/$C$5*(1+$C$8)+$E194*(1+$C$7)*$C$6)</f>
        <v/>
      </c>
      <c r="K194" s="27">
        <f>IF(H194="","",H194/$C$5*(1+$C$8)+$E194*(1+$C$7)*$C$6)</f>
        <v/>
      </c>
      <c r="L194" s="27">
        <f>IF(I194="","",I194/$C$5*(1+$C$8)+$E194*(1+$C$7)*$C$6)</f>
        <v/>
      </c>
      <c r="M194" s="28">
        <f>IF(J194="","",ROUND(J194*(1+$C$9),2))</f>
        <v/>
      </c>
      <c r="N194" s="28">
        <f>IF(K194="","",ROUND(K194*(1+$C$9),2))</f>
        <v/>
      </c>
      <c r="O194" s="28">
        <f>IF(L194="","",ROUND(L194*(1+$C$9),2))</f>
        <v/>
      </c>
      <c r="P194" s="29">
        <f>TRIM(IF($B194="NOT ASSIGNED","No NW part no. ","")&amp;IFERROR(IF(INDEX(Conversion!$J$2:$J$500,MATCH($A194,Conversion!$B$2:$B$500,0))="Needs review","Conversion table: needs review. ",""),"")&amp;IF(LEFT($F194,8)="ESTIMATE","Weight estimated. ","")&amp;"")</f>
        <v/>
      </c>
    </row>
    <row r="196">
      <c r="A196" s="14" t="inlineStr">
        <is>
          <t>Hose tails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</row>
    <row r="198">
      <c r="A198" s="16" t="inlineStr">
        <is>
          <t>Qty break</t>
        </is>
      </c>
      <c r="B198" s="17" t="n"/>
      <c r="C198" s="17" t="n"/>
      <c r="D198" s="17" t="n"/>
      <c r="E198" s="17" t="n"/>
      <c r="F198" s="17" t="n"/>
      <c r="G198" s="18" t="inlineStr">
        <is>
          <t>&lt; 10 pcs</t>
        </is>
      </c>
      <c r="H198" s="18" t="inlineStr">
        <is>
          <t>≥ 10 pcs</t>
        </is>
      </c>
      <c r="I198" s="18" t="inlineStr">
        <is>
          <t>≥ 50 pcs</t>
        </is>
      </c>
      <c r="J198" s="18" t="inlineStr">
        <is>
          <t>&lt; 10 pcs</t>
        </is>
      </c>
      <c r="K198" s="18" t="inlineStr">
        <is>
          <t>≥ 10 pcs</t>
        </is>
      </c>
      <c r="L198" s="18" t="inlineStr">
        <is>
          <t>≥ 50 pcs</t>
        </is>
      </c>
      <c r="M198" s="18" t="inlineStr">
        <is>
          <t>&lt; 10 pcs</t>
        </is>
      </c>
      <c r="N198" s="18" t="inlineStr">
        <is>
          <t>≥ 10 pcs</t>
        </is>
      </c>
      <c r="O198" s="18" t="inlineStr">
        <is>
          <t>≥ 50 pcs</t>
        </is>
      </c>
      <c r="P198" s="17" t="n"/>
    </row>
    <row r="199">
      <c r="A199" s="31" t="inlineStr">
        <is>
          <t>Brass</t>
        </is>
      </c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  <c r="O199" s="32" t="n"/>
      <c r="P199" s="32" t="n"/>
    </row>
    <row r="201">
      <c r="A201" s="19" t="inlineStr">
        <is>
          <t>MESS013</t>
        </is>
      </c>
      <c r="B201" s="20">
        <f>IFERROR(INDEX(Conversion!$C$2:$C$500,MATCH($A201,Conversion!$B$2:$B$500,0)),"NOT ASSIGNED")</f>
        <v/>
      </c>
      <c r="C201" s="21" t="inlineStr">
        <is>
          <t>Brass hose tail, 1/2" male x 13mm</t>
        </is>
      </c>
      <c r="D201" s="22" t="inlineStr">
        <is>
          <t>Hose tail, 13 mm x 1/2" M, brass</t>
        </is>
      </c>
      <c r="E201" s="30" t="n">
        <v>0.03</v>
      </c>
      <c r="F201" s="24" t="inlineStr">
        <is>
          <t>ESTIMATE - catalogue gives dimensions only (p.68-71)</t>
        </is>
      </c>
      <c r="G201" s="25" t="n">
        <v>2.076272</v>
      </c>
      <c r="H201" s="25" t="n">
        <v>1.816738</v>
      </c>
      <c r="I201" s="25" t="n">
        <v>1.686971</v>
      </c>
      <c r="J201" s="27">
        <f>IF(G201="","",G201/$C$5*(1+$C$8)+$E201*(1+$C$7)*$C$6)</f>
        <v/>
      </c>
      <c r="K201" s="27">
        <f>IF(H201="","",H201/$C$5*(1+$C$8)+$E201*(1+$C$7)*$C$6)</f>
        <v/>
      </c>
      <c r="L201" s="27">
        <f>IF(I201="","",I201/$C$5*(1+$C$8)+$E201*(1+$C$7)*$C$6)</f>
        <v/>
      </c>
      <c r="M201" s="28">
        <f>IF(J201="","",ROUND(J201*(1+$C$9),2))</f>
        <v/>
      </c>
      <c r="N201" s="28">
        <f>IF(K201="","",ROUND(K201*(1+$C$9),2))</f>
        <v/>
      </c>
      <c r="O201" s="28">
        <f>IF(L201="","",ROUND(L201*(1+$C$9),2))</f>
        <v/>
      </c>
      <c r="P201" s="29">
        <f>TRIM(IF($B201="NOT ASSIGNED","No NW part no. ","")&amp;IFERROR(IF(INDEX(Conversion!$J$2:$J$500,MATCH($A201,Conversion!$B$2:$B$500,0))="Needs review","Conversion table: needs review. ",""),"")&amp;IF(LEFT($F201,8)="ESTIMATE","Weight estimated. ","")&amp;"")</f>
        <v/>
      </c>
    </row>
    <row r="202">
      <c r="A202" s="19" t="inlineStr">
        <is>
          <t>MESS019</t>
        </is>
      </c>
      <c r="B202" s="20">
        <f>IFERROR(INDEX(Conversion!$C$2:$C$500,MATCH($A202,Conversion!$B$2:$B$500,0)),"NOT ASSIGNED")</f>
        <v/>
      </c>
      <c r="C202" s="21" t="inlineStr">
        <is>
          <t>Brass hose tail, 1/2" male x 19mm</t>
        </is>
      </c>
      <c r="D202" s="22" t="inlineStr">
        <is>
          <t>Hose tail, 19 mm x 1/2" M, brass</t>
        </is>
      </c>
      <c r="E202" s="30" t="n">
        <v>0.04</v>
      </c>
      <c r="F202" s="24" t="inlineStr">
        <is>
          <t>ESTIMATE - catalogue gives dimensions only (p.68-71)</t>
        </is>
      </c>
      <c r="G202" s="25" t="n">
        <v>2.142448</v>
      </c>
      <c r="H202" s="25" t="n">
        <v>1.874642</v>
      </c>
      <c r="I202" s="25" t="n">
        <v>1.740739</v>
      </c>
      <c r="J202" s="27">
        <f>IF(G202="","",G202/$C$5*(1+$C$8)+$E202*(1+$C$7)*$C$6)</f>
        <v/>
      </c>
      <c r="K202" s="27">
        <f>IF(H202="","",H202/$C$5*(1+$C$8)+$E202*(1+$C$7)*$C$6)</f>
        <v/>
      </c>
      <c r="L202" s="27">
        <f>IF(I202="","",I202/$C$5*(1+$C$8)+$E202*(1+$C$7)*$C$6)</f>
        <v/>
      </c>
      <c r="M202" s="28">
        <f>IF(J202="","",ROUND(J202*(1+$C$9),2))</f>
        <v/>
      </c>
      <c r="N202" s="28">
        <f>IF(K202="","",ROUND(K202*(1+$C$9),2))</f>
        <v/>
      </c>
      <c r="O202" s="28">
        <f>IF(L202="","",ROUND(L202*(1+$C$9),2))</f>
        <v/>
      </c>
      <c r="P202" s="29">
        <f>TRIM(IF($B202="NOT ASSIGNED","No NW part no. ","")&amp;IFERROR(IF(INDEX(Conversion!$J$2:$J$500,MATCH($A202,Conversion!$B$2:$B$500,0))="Needs review","Conversion table: needs review. ",""),"")&amp;IF(LEFT($F202,8)="ESTIMATE","Weight estimated. ","")&amp;"")</f>
        <v/>
      </c>
    </row>
    <row r="203">
      <c r="A203" s="19" t="inlineStr">
        <is>
          <t>MESS025</t>
        </is>
      </c>
      <c r="B203" s="20">
        <f>IFERROR(INDEX(Conversion!$C$2:$C$500,MATCH($A203,Conversion!$B$2:$B$500,0)),"NOT ASSIGNED")</f>
        <v/>
      </c>
      <c r="C203" s="21" t="inlineStr">
        <is>
          <t>Brass hose tail, 1/2" male x 25mm</t>
        </is>
      </c>
      <c r="D203" s="22" t="inlineStr">
        <is>
          <t>Hose tail, 25 mm x 1/2" M, brass</t>
        </is>
      </c>
      <c r="E203" s="30" t="n">
        <v>0.06</v>
      </c>
      <c r="F203" s="24" t="inlineStr">
        <is>
          <t>ESTIMATE - catalogue gives dimensions only (p.68-71)</t>
        </is>
      </c>
      <c r="G203" s="25" t="n">
        <v>7.750864</v>
      </c>
      <c r="H203" s="25" t="n">
        <v>6.782006</v>
      </c>
      <c r="I203" s="25" t="n">
        <v>6.297577</v>
      </c>
      <c r="J203" s="27">
        <f>IF(G203="","",G203/$C$5*(1+$C$8)+$E203*(1+$C$7)*$C$6)</f>
        <v/>
      </c>
      <c r="K203" s="27">
        <f>IF(H203="","",H203/$C$5*(1+$C$8)+$E203*(1+$C$7)*$C$6)</f>
        <v/>
      </c>
      <c r="L203" s="27">
        <f>IF(I203="","",I203/$C$5*(1+$C$8)+$E203*(1+$C$7)*$C$6)</f>
        <v/>
      </c>
      <c r="M203" s="28">
        <f>IF(J203="","",ROUND(J203*(1+$C$9),2))</f>
        <v/>
      </c>
      <c r="N203" s="28">
        <f>IF(K203="","",ROUND(K203*(1+$C$9),2))</f>
        <v/>
      </c>
      <c r="O203" s="28">
        <f>IF(L203="","",ROUND(L203*(1+$C$9),2))</f>
        <v/>
      </c>
      <c r="P203" s="29">
        <f>TRIM(IF($B203="NOT ASSIGNED","No NW part no. ","")&amp;IFERROR(IF(INDEX(Conversion!$J$2:$J$500,MATCH($A203,Conversion!$B$2:$B$500,0))="Needs review","Conversion table: needs review. ",""),"")&amp;IF(LEFT($F203,8)="ESTIMATE","Weight estimated. ","")&amp;"")</f>
        <v/>
      </c>
    </row>
    <row r="205">
      <c r="A205" s="31" t="inlineStr">
        <is>
          <t>Chrome plated brass</t>
        </is>
      </c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  <c r="N205" s="32" t="n"/>
      <c r="O205" s="32" t="n"/>
      <c r="P205" s="32" t="n"/>
    </row>
    <row r="207">
      <c r="A207" s="19" t="inlineStr">
        <is>
          <t>MESC013</t>
        </is>
      </c>
      <c r="B207" s="20">
        <f>IFERROR(INDEX(Conversion!$C$2:$C$500,MATCH($A207,Conversion!$B$2:$B$500,0)),"NOT ASSIGNED")</f>
        <v/>
      </c>
      <c r="C207" s="21" t="inlineStr">
        <is>
          <t>Chrome plated brass hose tail, 1/2" BSP male with O-ring x 13mm</t>
        </is>
      </c>
      <c r="D207" s="22" t="inlineStr">
        <is>
          <t>Hose tail, 13 mm x 1/2" M, w/ O-ring, chrome-plated brass</t>
        </is>
      </c>
      <c r="E207" s="30" t="n">
        <v>0.035</v>
      </c>
      <c r="F207" s="24" t="inlineStr">
        <is>
          <t>ESTIMATE - catalogue gives dimensions only (p.68-71)</t>
        </is>
      </c>
      <c r="G207" s="25" t="n">
        <v>3.747216</v>
      </c>
      <c r="H207" s="25" t="n">
        <v>3.278814</v>
      </c>
      <c r="I207" s="25" t="n">
        <v>3.044613</v>
      </c>
      <c r="J207" s="27">
        <f>IF(G207="","",G207/$C$5*(1+$C$8)+$E207*(1+$C$7)*$C$6)</f>
        <v/>
      </c>
      <c r="K207" s="27">
        <f>IF(H207="","",H207/$C$5*(1+$C$8)+$E207*(1+$C$7)*$C$6)</f>
        <v/>
      </c>
      <c r="L207" s="27">
        <f>IF(I207="","",I207/$C$5*(1+$C$8)+$E207*(1+$C$7)*$C$6)</f>
        <v/>
      </c>
      <c r="M207" s="28">
        <f>IF(J207="","",ROUND(J207*(1+$C$9),2))</f>
        <v/>
      </c>
      <c r="N207" s="28">
        <f>IF(K207="","",ROUND(K207*(1+$C$9),2))</f>
        <v/>
      </c>
      <c r="O207" s="28">
        <f>IF(L207="","",ROUND(L207*(1+$C$9),2))</f>
        <v/>
      </c>
      <c r="P207" s="29">
        <f>TRIM(IF($B207="NOT ASSIGNED","No NW part no. ","")&amp;IFERROR(IF(INDEX(Conversion!$J$2:$J$500,MATCH($A207,Conversion!$B$2:$B$500,0))="Needs review","Conversion table: needs review. ",""),"")&amp;IF(LEFT($F207,8)="ESTIMATE","Weight estimated. ","")&amp;"")</f>
        <v/>
      </c>
    </row>
    <row r="208">
      <c r="A208" s="19" t="inlineStr">
        <is>
          <t>MESC016</t>
        </is>
      </c>
      <c r="B208" s="20">
        <f>IFERROR(INDEX(Conversion!$C$2:$C$500,MATCH($A208,Conversion!$B$2:$B$500,0)),"NOT ASSIGNED")</f>
        <v/>
      </c>
      <c r="C208" s="21" t="inlineStr">
        <is>
          <t>Chrome plated brass hose tail, 1/2" BSP male with O-ring x 16mm</t>
        </is>
      </c>
      <c r="D208" s="22" t="inlineStr">
        <is>
          <t>Hose tail, 16 mm x 1/2" M, w/ O-ring, chrome-plated brass</t>
        </is>
      </c>
      <c r="E208" s="30" t="n">
        <v>0.04</v>
      </c>
      <c r="F208" s="24" t="inlineStr">
        <is>
          <t>ESTIMATE - catalogue gives dimensions only (p.68-71)</t>
        </is>
      </c>
      <c r="G208" s="25" t="n">
        <v>4.152544</v>
      </c>
      <c r="H208" s="25" t="n">
        <v>3.633476</v>
      </c>
      <c r="I208" s="25" t="n">
        <v>3.373942</v>
      </c>
      <c r="J208" s="27">
        <f>IF(G208="","",G208/$C$5*(1+$C$8)+$E208*(1+$C$7)*$C$6)</f>
        <v/>
      </c>
      <c r="K208" s="27">
        <f>IF(H208="","",H208/$C$5*(1+$C$8)+$E208*(1+$C$7)*$C$6)</f>
        <v/>
      </c>
      <c r="L208" s="27">
        <f>IF(I208="","",I208/$C$5*(1+$C$8)+$E208*(1+$C$7)*$C$6)</f>
        <v/>
      </c>
      <c r="M208" s="28">
        <f>IF(J208="","",ROUND(J208*(1+$C$9),2))</f>
        <v/>
      </c>
      <c r="N208" s="28">
        <f>IF(K208="","",ROUND(K208*(1+$C$9),2))</f>
        <v/>
      </c>
      <c r="O208" s="28">
        <f>IF(L208="","",ROUND(L208*(1+$C$9),2))</f>
        <v/>
      </c>
      <c r="P208" s="29">
        <f>TRIM(IF($B208="NOT ASSIGNED","No NW part no. ","")&amp;IFERROR(IF(INDEX(Conversion!$J$2:$J$500,MATCH($A208,Conversion!$B$2:$B$500,0))="Needs review","Conversion table: needs review. ",""),"")&amp;IF(LEFT($F208,8)="ESTIMATE","Weight estimated. ","")&amp;"")</f>
        <v/>
      </c>
    </row>
    <row r="209">
      <c r="A209" s="19" t="inlineStr">
        <is>
          <t>MESC019</t>
        </is>
      </c>
      <c r="B209" s="20">
        <f>IFERROR(INDEX(Conversion!$C$2:$C$500,MATCH($A209,Conversion!$B$2:$B$500,0)),"NOT ASSIGNED")</f>
        <v/>
      </c>
      <c r="C209" s="21" t="inlineStr">
        <is>
          <t>Chrome plated brass hose tail, 1/2" BSP male with O-ring x 19mm</t>
        </is>
      </c>
      <c r="D209" s="22" t="inlineStr">
        <is>
          <t>Hose tail, 19 mm x 1/2" M, w/ O-ring, chrome-plated brass</t>
        </is>
      </c>
      <c r="E209" s="30" t="n">
        <v>0.045</v>
      </c>
      <c r="F209" s="24" t="inlineStr">
        <is>
          <t>ESTIMATE - catalogue gives dimensions only (p.68-71)</t>
        </is>
      </c>
      <c r="G209" s="25" t="n">
        <v>4.309712</v>
      </c>
      <c r="H209" s="25" t="n">
        <v>3.770998</v>
      </c>
      <c r="I209" s="25" t="n">
        <v>3.501641</v>
      </c>
      <c r="J209" s="27">
        <f>IF(G209="","",G209/$C$5*(1+$C$8)+$E209*(1+$C$7)*$C$6)</f>
        <v/>
      </c>
      <c r="K209" s="27">
        <f>IF(H209="","",H209/$C$5*(1+$C$8)+$E209*(1+$C$7)*$C$6)</f>
        <v/>
      </c>
      <c r="L209" s="27">
        <f>IF(I209="","",I209/$C$5*(1+$C$8)+$E209*(1+$C$7)*$C$6)</f>
        <v/>
      </c>
      <c r="M209" s="28">
        <f>IF(J209="","",ROUND(J209*(1+$C$9),2))</f>
        <v/>
      </c>
      <c r="N209" s="28">
        <f>IF(K209="","",ROUND(K209*(1+$C$9),2))</f>
        <v/>
      </c>
      <c r="O209" s="28">
        <f>IF(L209="","",ROUND(L209*(1+$C$9),2))</f>
        <v/>
      </c>
      <c r="P209" s="29">
        <f>TRIM(IF($B209="NOT ASSIGNED","No NW part no. ","")&amp;IFERROR(IF(INDEX(Conversion!$J$2:$J$500,MATCH($A209,Conversion!$B$2:$B$500,0))="Needs review","Conversion table: needs review. ",""),"")&amp;IF(LEFT($F209,8)="ESTIMATE","Weight estimated. ","")&amp;"")</f>
        <v/>
      </c>
    </row>
    <row r="211">
      <c r="A211" s="31" t="inlineStr">
        <is>
          <t>Stainless steel</t>
        </is>
      </c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  <c r="O211" s="32" t="n"/>
      <c r="P211" s="32" t="n"/>
    </row>
    <row r="213">
      <c r="A213" s="19" t="inlineStr">
        <is>
          <t>RVST013-C17</t>
        </is>
      </c>
      <c r="B213" s="20">
        <f>IFERROR(INDEX(Conversion!$C$2:$C$500,MATCH($A213,Conversion!$B$2:$B$500,0)),"NOT ASSIGNED")</f>
        <v/>
      </c>
      <c r="C213" s="21" t="inlineStr">
        <is>
          <t>St.st. hose tail, 1/2" male x 13mm, 17mm collar</t>
        </is>
      </c>
      <c r="D213" s="22" t="inlineStr">
        <is>
          <t>Hose tail, 13 mm x 1/2" M, 17 mm collar, stainless steel 316</t>
        </is>
      </c>
      <c r="E213" s="30" t="n">
        <v>0.04</v>
      </c>
      <c r="F213" s="24" t="inlineStr">
        <is>
          <t>ESTIMATE - catalogue gives dimensions only (p.68-71)</t>
        </is>
      </c>
      <c r="G213" s="25" t="n">
        <v>7.69296</v>
      </c>
      <c r="H213" s="25" t="n">
        <v>6.73134</v>
      </c>
      <c r="I213" s="25" t="n">
        <v>6.25053</v>
      </c>
      <c r="J213" s="27">
        <f>IF(G213="","",G213/$C$5*(1+$C$8)+$E213*(1+$C$7)*$C$6)</f>
        <v/>
      </c>
      <c r="K213" s="27">
        <f>IF(H213="","",H213/$C$5*(1+$C$8)+$E213*(1+$C$7)*$C$6)</f>
        <v/>
      </c>
      <c r="L213" s="27">
        <f>IF(I213="","",I213/$C$5*(1+$C$8)+$E213*(1+$C$7)*$C$6)</f>
        <v/>
      </c>
      <c r="M213" s="28">
        <f>IF(J213="","",ROUND(J213*(1+$C$9),2))</f>
        <v/>
      </c>
      <c r="N213" s="28">
        <f>IF(K213="","",ROUND(K213*(1+$C$9),2))</f>
        <v/>
      </c>
      <c r="O213" s="28">
        <f>IF(L213="","",ROUND(L213*(1+$C$9),2))</f>
        <v/>
      </c>
      <c r="P213" s="29">
        <f>TRIM(IF($B213="NOT ASSIGNED","No NW part no. ","")&amp;IFERROR(IF(INDEX(Conversion!$J$2:$J$500,MATCH($A213,Conversion!$B$2:$B$500,0))="Needs review","Conversion table: needs review. ",""),"")&amp;IF(LEFT($F213,8)="ESTIMATE","Weight estimated. ","")&amp;"")</f>
        <v/>
      </c>
    </row>
    <row r="214">
      <c r="A214" s="19" t="inlineStr">
        <is>
          <t>RVST013-C17-SP</t>
        </is>
      </c>
      <c r="B214" s="20">
        <f>IFERROR(INDEX(Conversion!$C$2:$C$500,MATCH($A214,Conversion!$B$2:$B$500,0)),"NOT ASSIGNED")</f>
        <v/>
      </c>
      <c r="C214" s="21" t="inlineStr">
        <is>
          <t>St.st. hose tail, 1/2" male x 13mm, 17mm collar, inside hose protection spring</t>
        </is>
      </c>
      <c r="D214" s="22" t="inlineStr">
        <is>
          <t>Hose tail, 13 mm x 1/2" M, 17 mm collar, w/ anti-kink spring, stainless steel 316</t>
        </is>
      </c>
      <c r="E214" s="30" t="n">
        <v>0.08</v>
      </c>
      <c r="F214" s="24" t="inlineStr">
        <is>
          <t>ESTIMATE - catalogue gives dimensions only (p.68-71)</t>
        </is>
      </c>
      <c r="G214" s="25" t="n">
        <v>13.946592</v>
      </c>
      <c r="H214" s="25" t="n">
        <v>12.203268</v>
      </c>
      <c r="I214" s="25" t="n">
        <v>11.331606</v>
      </c>
      <c r="J214" s="27">
        <f>IF(G214="","",G214/$C$5*(1+$C$8)+$E214*(1+$C$7)*$C$6)</f>
        <v/>
      </c>
      <c r="K214" s="27">
        <f>IF(H214="","",H214/$C$5*(1+$C$8)+$E214*(1+$C$7)*$C$6)</f>
        <v/>
      </c>
      <c r="L214" s="27">
        <f>IF(I214="","",I214/$C$5*(1+$C$8)+$E214*(1+$C$7)*$C$6)</f>
        <v/>
      </c>
      <c r="M214" s="28">
        <f>IF(J214="","",ROUND(J214*(1+$C$9),2))</f>
        <v/>
      </c>
      <c r="N214" s="28">
        <f>IF(K214="","",ROUND(K214*(1+$C$9),2))</f>
        <v/>
      </c>
      <c r="O214" s="28">
        <f>IF(L214="","",ROUND(L214*(1+$C$9),2))</f>
        <v/>
      </c>
      <c r="P214" s="29">
        <f>TRIM(IF($B214="NOT ASSIGNED","No NW part no. ","")&amp;IFERROR(IF(INDEX(Conversion!$J$2:$J$500,MATCH($A214,Conversion!$B$2:$B$500,0))="Needs review","Conversion table: needs review. ",""),"")&amp;IF(LEFT($F214,8)="ESTIMATE","Weight estimated. ","")&amp;"")</f>
        <v/>
      </c>
    </row>
    <row r="215">
      <c r="A215" s="19" t="inlineStr">
        <is>
          <t>RVST013-C20</t>
        </is>
      </c>
      <c r="B215" s="20">
        <f>IFERROR(INDEX(Conversion!$C$2:$C$500,MATCH($A215,Conversion!$B$2:$B$500,0)),"NOT ASSIGNED")</f>
        <v/>
      </c>
      <c r="C215" s="21" t="inlineStr">
        <is>
          <t>St.st. hose tail, 1/2" male x 13mm, 20mm collar</t>
        </is>
      </c>
      <c r="D215" s="22" t="inlineStr">
        <is>
          <t>Hose tail, 13 mm x 1/2" M, 20 mm collar, stainless steel 316</t>
        </is>
      </c>
      <c r="E215" s="30" t="n">
        <v>0.04</v>
      </c>
      <c r="F215" s="24" t="inlineStr">
        <is>
          <t>ESTIMATE - catalogue gives dimensions only (p.68-71)</t>
        </is>
      </c>
      <c r="G215" s="25" t="n">
        <v>7.69296</v>
      </c>
      <c r="H215" s="25" t="n">
        <v>6.73134</v>
      </c>
      <c r="I215" s="25" t="n">
        <v>6.25053</v>
      </c>
      <c r="J215" s="27">
        <f>IF(G215="","",G215/$C$5*(1+$C$8)+$E215*(1+$C$7)*$C$6)</f>
        <v/>
      </c>
      <c r="K215" s="27">
        <f>IF(H215="","",H215/$C$5*(1+$C$8)+$E215*(1+$C$7)*$C$6)</f>
        <v/>
      </c>
      <c r="L215" s="27">
        <f>IF(I215="","",I215/$C$5*(1+$C$8)+$E215*(1+$C$7)*$C$6)</f>
        <v/>
      </c>
      <c r="M215" s="28">
        <f>IF(J215="","",ROUND(J215*(1+$C$9),2))</f>
        <v/>
      </c>
      <c r="N215" s="28">
        <f>IF(K215="","",ROUND(K215*(1+$C$9),2))</f>
        <v/>
      </c>
      <c r="O215" s="28">
        <f>IF(L215="","",ROUND(L215*(1+$C$9),2))</f>
        <v/>
      </c>
      <c r="P215" s="29">
        <f>TRIM(IF($B215="NOT ASSIGNED","No NW part no. ","")&amp;IFERROR(IF(INDEX(Conversion!$J$2:$J$500,MATCH($A215,Conversion!$B$2:$B$500,0))="Needs review","Conversion table: needs review. ",""),"")&amp;IF(LEFT($F215,8)="ESTIMATE","Weight estimated. ","")&amp;"")</f>
        <v/>
      </c>
    </row>
    <row r="216">
      <c r="A216" s="19" t="inlineStr">
        <is>
          <t>RVST013-C20-12F</t>
        </is>
      </c>
      <c r="B216" s="20">
        <f>IFERROR(INDEX(Conversion!$C$2:$C$500,MATCH($A216,Conversion!$B$2:$B$500,0)),"NOT ASSIGNED")</f>
        <v/>
      </c>
      <c r="C216" s="21" t="inlineStr">
        <is>
          <t>St.st. hose tail, 1/2" female x 13mm, 20mm collar</t>
        </is>
      </c>
      <c r="D216" s="22" t="inlineStr">
        <is>
          <t>Hose tail, 13 mm x 1/2" F, 20 mm collar, stainless steel 316</t>
        </is>
      </c>
      <c r="E216" s="30" t="n">
        <v>0.05</v>
      </c>
      <c r="F216" s="24" t="inlineStr">
        <is>
          <t>ESTIMATE - catalogue gives dimensions only (p.68-71)</t>
        </is>
      </c>
      <c r="G216" s="25" t="n">
        <v>7.69296</v>
      </c>
      <c r="H216" s="25" t="n">
        <v>6.73134</v>
      </c>
      <c r="I216" s="25" t="n">
        <v>6.25053</v>
      </c>
      <c r="J216" s="27">
        <f>IF(G216="","",G216/$C$5*(1+$C$8)+$E216*(1+$C$7)*$C$6)</f>
        <v/>
      </c>
      <c r="K216" s="27">
        <f>IF(H216="","",H216/$C$5*(1+$C$8)+$E216*(1+$C$7)*$C$6)</f>
        <v/>
      </c>
      <c r="L216" s="27">
        <f>IF(I216="","",I216/$C$5*(1+$C$8)+$E216*(1+$C$7)*$C$6)</f>
        <v/>
      </c>
      <c r="M216" s="28">
        <f>IF(J216="","",ROUND(J216*(1+$C$9),2))</f>
        <v/>
      </c>
      <c r="N216" s="28">
        <f>IF(K216="","",ROUND(K216*(1+$C$9),2))</f>
        <v/>
      </c>
      <c r="O216" s="28">
        <f>IF(L216="","",ROUND(L216*(1+$C$9),2))</f>
        <v/>
      </c>
      <c r="P216" s="29">
        <f>TRIM(IF($B216="NOT ASSIGNED","No NW part no. ","")&amp;IFERROR(IF(INDEX(Conversion!$J$2:$J$500,MATCH($A216,Conversion!$B$2:$B$500,0))="Needs review","Conversion table: needs review. ",""),"")&amp;IF(LEFT($F216,8)="ESTIMATE","Weight estimated. ","")&amp;"")</f>
        <v/>
      </c>
    </row>
    <row r="217">
      <c r="A217" s="19" t="inlineStr">
        <is>
          <t>RVST013-C20-34F</t>
        </is>
      </c>
      <c r="B217" s="20">
        <f>IFERROR(INDEX(Conversion!$C$2:$C$500,MATCH($A217,Conversion!$B$2:$B$500,0)),"NOT ASSIGNED")</f>
        <v/>
      </c>
      <c r="C217" s="21" t="inlineStr">
        <is>
          <t>St.st. hose tail, 3/4" female x 13mm, 20mm collar</t>
        </is>
      </c>
      <c r="D217" s="22" t="inlineStr">
        <is>
          <t>Hose tail, 13 mm x 3/4" F, 20 mm collar, stainless steel 316</t>
        </is>
      </c>
      <c r="E217" s="30" t="n">
        <v>0.06</v>
      </c>
      <c r="F217" s="24" t="inlineStr">
        <is>
          <t>ESTIMATE - catalogue gives dimensions only (p.68-71)</t>
        </is>
      </c>
      <c r="G217" s="25" t="n">
        <v>7.69296</v>
      </c>
      <c r="H217" s="25" t="n">
        <v>6.73134</v>
      </c>
      <c r="I217" s="25" t="n">
        <v>6.25053</v>
      </c>
      <c r="J217" s="27">
        <f>IF(G217="","",G217/$C$5*(1+$C$8)+$E217*(1+$C$7)*$C$6)</f>
        <v/>
      </c>
      <c r="K217" s="27">
        <f>IF(H217="","",H217/$C$5*(1+$C$8)+$E217*(1+$C$7)*$C$6)</f>
        <v/>
      </c>
      <c r="L217" s="27">
        <f>IF(I217="","",I217/$C$5*(1+$C$8)+$E217*(1+$C$7)*$C$6)</f>
        <v/>
      </c>
      <c r="M217" s="28">
        <f>IF(J217="","",ROUND(J217*(1+$C$9),2))</f>
        <v/>
      </c>
      <c r="N217" s="28">
        <f>IF(K217="","",ROUND(K217*(1+$C$9),2))</f>
        <v/>
      </c>
      <c r="O217" s="28">
        <f>IF(L217="","",ROUND(L217*(1+$C$9),2))</f>
        <v/>
      </c>
      <c r="P217" s="29">
        <f>TRIM(IF($B217="NOT ASSIGNED","No NW part no. ","")&amp;IFERROR(IF(INDEX(Conversion!$J$2:$J$500,MATCH($A217,Conversion!$B$2:$B$500,0))="Needs review","Conversion table: needs review. ",""),"")&amp;IF(LEFT($F217,8)="ESTIMATE","Weight estimated. ","")&amp;"")</f>
        <v/>
      </c>
    </row>
    <row r="218">
      <c r="A218" s="19" t="inlineStr">
        <is>
          <t>RVST013-C20-SP</t>
        </is>
      </c>
      <c r="B218" s="20">
        <f>IFERROR(INDEX(Conversion!$C$2:$C$500,MATCH($A218,Conversion!$B$2:$B$500,0)),"NOT ASSIGNED")</f>
        <v/>
      </c>
      <c r="C218" s="21" t="inlineStr">
        <is>
          <t>St.st. hose tail, 1/2" male x 13mm, 20mm collar, inside hose protection spring</t>
        </is>
      </c>
      <c r="D218" s="22" t="inlineStr">
        <is>
          <t>Hose tail, 13 mm x 1/2" M, 20 mm collar, w/ anti-kink spring, stainless steel 316</t>
        </is>
      </c>
      <c r="E218" s="30" t="n">
        <v>0.08</v>
      </c>
      <c r="F218" s="24" t="inlineStr">
        <is>
          <t>ESTIMATE - catalogue gives dimensions only (p.68-71)</t>
        </is>
      </c>
      <c r="G218" s="25" t="n">
        <v>13.946592</v>
      </c>
      <c r="H218" s="25" t="n">
        <v>12.203268</v>
      </c>
      <c r="I218" s="25" t="n">
        <v>11.331606</v>
      </c>
      <c r="J218" s="27">
        <f>IF(G218="","",G218/$C$5*(1+$C$8)+$E218*(1+$C$7)*$C$6)</f>
        <v/>
      </c>
      <c r="K218" s="27">
        <f>IF(H218="","",H218/$C$5*(1+$C$8)+$E218*(1+$C$7)*$C$6)</f>
        <v/>
      </c>
      <c r="L218" s="27">
        <f>IF(I218="","",I218/$C$5*(1+$C$8)+$E218*(1+$C$7)*$C$6)</f>
        <v/>
      </c>
      <c r="M218" s="28">
        <f>IF(J218="","",ROUND(J218*(1+$C$9),2))</f>
        <v/>
      </c>
      <c r="N218" s="28">
        <f>IF(K218="","",ROUND(K218*(1+$C$9),2))</f>
        <v/>
      </c>
      <c r="O218" s="28">
        <f>IF(L218="","",ROUND(L218*(1+$C$9),2))</f>
        <v/>
      </c>
      <c r="P218" s="29">
        <f>TRIM(IF($B218="NOT ASSIGNED","No NW part no. ","")&amp;IFERROR(IF(INDEX(Conversion!$J$2:$J$500,MATCH($A218,Conversion!$B$2:$B$500,0))="Needs review","Conversion table: needs review. ",""),"")&amp;IF(LEFT($F218,8)="ESTIMATE","Weight estimated. ","")&amp;"")</f>
        <v/>
      </c>
    </row>
    <row r="219">
      <c r="A219" s="19" t="inlineStr">
        <is>
          <t>RVST016-C21</t>
        </is>
      </c>
      <c r="B219" s="20">
        <f>IFERROR(INDEX(Conversion!$C$2:$C$500,MATCH($A219,Conversion!$B$2:$B$500,0)),"NOT ASSIGNED")</f>
        <v/>
      </c>
      <c r="C219" s="21" t="inlineStr">
        <is>
          <t>St.st. hose tail, 1/2" male x 16mm, 21mm collar</t>
        </is>
      </c>
      <c r="D219" s="22" t="inlineStr">
        <is>
          <t>Hose tail, 16 mm x 1/2" M, 21 mm collar, stainless steel 316</t>
        </is>
      </c>
      <c r="E219" s="30" t="n">
        <v>0.05</v>
      </c>
      <c r="F219" s="24" t="inlineStr">
        <is>
          <t>ESTIMATE - catalogue gives dimensions only (p.68-71)</t>
        </is>
      </c>
      <c r="G219" s="25" t="n">
        <v>7.69296</v>
      </c>
      <c r="H219" s="25" t="n">
        <v>6.73134</v>
      </c>
      <c r="I219" s="25" t="n">
        <v>6.25053</v>
      </c>
      <c r="J219" s="27">
        <f>IF(G219="","",G219/$C$5*(1+$C$8)+$E219*(1+$C$7)*$C$6)</f>
        <v/>
      </c>
      <c r="K219" s="27">
        <f>IF(H219="","",H219/$C$5*(1+$C$8)+$E219*(1+$C$7)*$C$6)</f>
        <v/>
      </c>
      <c r="L219" s="27">
        <f>IF(I219="","",I219/$C$5*(1+$C$8)+$E219*(1+$C$7)*$C$6)</f>
        <v/>
      </c>
      <c r="M219" s="28">
        <f>IF(J219="","",ROUND(J219*(1+$C$9),2))</f>
        <v/>
      </c>
      <c r="N219" s="28">
        <f>IF(K219="","",ROUND(K219*(1+$C$9),2))</f>
        <v/>
      </c>
      <c r="O219" s="28">
        <f>IF(L219="","",ROUND(L219*(1+$C$9),2))</f>
        <v/>
      </c>
      <c r="P219" s="29">
        <f>TRIM(IF($B219="NOT ASSIGNED","No NW part no. ","")&amp;IFERROR(IF(INDEX(Conversion!$J$2:$J$500,MATCH($A219,Conversion!$B$2:$B$500,0))="Needs review","Conversion table: needs review. ",""),"")&amp;IF(LEFT($F219,8)="ESTIMATE","Weight estimated. ","")&amp;"")</f>
        <v/>
      </c>
    </row>
    <row r="220">
      <c r="A220" s="19" t="inlineStr">
        <is>
          <t>RVST016-C21-SP</t>
        </is>
      </c>
      <c r="B220" s="20">
        <f>IFERROR(INDEX(Conversion!$C$2:$C$500,MATCH($A220,Conversion!$B$2:$B$500,0)),"NOT ASSIGNED")</f>
        <v/>
      </c>
      <c r="C220" s="21" t="inlineStr">
        <is>
          <t>St.st. hose tail, 1/2" male x 16mm, 21mm collar, inside hose protection spring</t>
        </is>
      </c>
      <c r="D220" s="22" t="inlineStr">
        <is>
          <t>Hose tail, 16 mm x 1/2" M, 21 mm collar, w/ anti-kink spring, stainless steel 316</t>
        </is>
      </c>
      <c r="E220" s="30" t="n">
        <v>0.09</v>
      </c>
      <c r="F220" s="24" t="inlineStr">
        <is>
          <t>ESTIMATE - catalogue gives dimensions only (p.68-71)</t>
        </is>
      </c>
      <c r="G220" s="25" t="n">
        <v>13.946592</v>
      </c>
      <c r="H220" s="25" t="n">
        <v>12.203268</v>
      </c>
      <c r="I220" s="25" t="n">
        <v>11.331606</v>
      </c>
      <c r="J220" s="27">
        <f>IF(G220="","",G220/$C$5*(1+$C$8)+$E220*(1+$C$7)*$C$6)</f>
        <v/>
      </c>
      <c r="K220" s="27">
        <f>IF(H220="","",H220/$C$5*(1+$C$8)+$E220*(1+$C$7)*$C$6)</f>
        <v/>
      </c>
      <c r="L220" s="27">
        <f>IF(I220="","",I220/$C$5*(1+$C$8)+$E220*(1+$C$7)*$C$6)</f>
        <v/>
      </c>
      <c r="M220" s="28">
        <f>IF(J220="","",ROUND(J220*(1+$C$9),2))</f>
        <v/>
      </c>
      <c r="N220" s="28">
        <f>IF(K220="","",ROUND(K220*(1+$C$9),2))</f>
        <v/>
      </c>
      <c r="O220" s="28">
        <f>IF(L220="","",ROUND(L220*(1+$C$9),2))</f>
        <v/>
      </c>
      <c r="P220" s="29">
        <f>TRIM(IF($B220="NOT ASSIGNED","No NW part no. ","")&amp;IFERROR(IF(INDEX(Conversion!$J$2:$J$500,MATCH($A220,Conversion!$B$2:$B$500,0))="Needs review","Conversion table: needs review. ",""),"")&amp;IF(LEFT($F220,8)="ESTIMATE","Weight estimated. ","")&amp;"")</f>
        <v/>
      </c>
    </row>
    <row r="221">
      <c r="A221" s="19" t="inlineStr">
        <is>
          <t>RVST019-C24</t>
        </is>
      </c>
      <c r="B221" s="20">
        <f>IFERROR(INDEX(Conversion!$C$2:$C$500,MATCH($A221,Conversion!$B$2:$B$500,0)),"NOT ASSIGNED")</f>
        <v/>
      </c>
      <c r="C221" s="21" t="inlineStr">
        <is>
          <t>St.st. hose tail, 1/2" male x 19mm, 24mm collar</t>
        </is>
      </c>
      <c r="D221" s="22" t="inlineStr">
        <is>
          <t>Hose tail, 19 mm x 1/2" M, 24 mm collar, stainless steel 316</t>
        </is>
      </c>
      <c r="E221" s="30" t="n">
        <v>0.06</v>
      </c>
      <c r="F221" s="24" t="inlineStr">
        <is>
          <t>ESTIMATE - catalogue gives dimensions only (p.68-71)</t>
        </is>
      </c>
      <c r="G221" s="25" t="n">
        <v>8.114832</v>
      </c>
      <c r="H221" s="25" t="n">
        <v>7.100478</v>
      </c>
      <c r="I221" s="25" t="n">
        <v>6.593301</v>
      </c>
      <c r="J221" s="27">
        <f>IF(G221="","",G221/$C$5*(1+$C$8)+$E221*(1+$C$7)*$C$6)</f>
        <v/>
      </c>
      <c r="K221" s="27">
        <f>IF(H221="","",H221/$C$5*(1+$C$8)+$E221*(1+$C$7)*$C$6)</f>
        <v/>
      </c>
      <c r="L221" s="27">
        <f>IF(I221="","",I221/$C$5*(1+$C$8)+$E221*(1+$C$7)*$C$6)</f>
        <v/>
      </c>
      <c r="M221" s="28">
        <f>IF(J221="","",ROUND(J221*(1+$C$9),2))</f>
        <v/>
      </c>
      <c r="N221" s="28">
        <f>IF(K221="","",ROUND(K221*(1+$C$9),2))</f>
        <v/>
      </c>
      <c r="O221" s="28">
        <f>IF(L221="","",ROUND(L221*(1+$C$9),2))</f>
        <v/>
      </c>
      <c r="P221" s="29">
        <f>TRIM(IF($B221="NOT ASSIGNED","No NW part no. ","")&amp;IFERROR(IF(INDEX(Conversion!$J$2:$J$500,MATCH($A221,Conversion!$B$2:$B$500,0))="Needs review","Conversion table: needs review. ",""),"")&amp;IF(LEFT($F221,8)="ESTIMATE","Weight estimated. ","")&amp;"")</f>
        <v/>
      </c>
    </row>
    <row r="222">
      <c r="A222" s="19" t="inlineStr">
        <is>
          <t>RVST019-C24-SP</t>
        </is>
      </c>
      <c r="B222" s="20">
        <f>IFERROR(INDEX(Conversion!$C$2:$C$500,MATCH($A222,Conversion!$B$2:$B$500,0)),"NOT ASSIGNED")</f>
        <v/>
      </c>
      <c r="C222" s="21" t="inlineStr">
        <is>
          <t>St.st. hose tail, 1/2" male x 19mm, 24mm collar, inside hose protection spring</t>
        </is>
      </c>
      <c r="D222" s="22" t="inlineStr">
        <is>
          <t>Hose tail, 19 mm x 1/2" M, 24 mm collar, w/ anti-kink spring, stainless steel 316</t>
        </is>
      </c>
      <c r="E222" s="30" t="n">
        <v>0.1</v>
      </c>
      <c r="F222" s="24" t="inlineStr">
        <is>
          <t>ESTIMATE - catalogue gives dimensions only (p.68-71)</t>
        </is>
      </c>
      <c r="G222" s="25" t="n">
        <v>13.946592</v>
      </c>
      <c r="H222" s="25" t="n">
        <v>12.203268</v>
      </c>
      <c r="I222" s="25" t="n">
        <v>11.331606</v>
      </c>
      <c r="J222" s="27">
        <f>IF(G222="","",G222/$C$5*(1+$C$8)+$E222*(1+$C$7)*$C$6)</f>
        <v/>
      </c>
      <c r="K222" s="27">
        <f>IF(H222="","",H222/$C$5*(1+$C$8)+$E222*(1+$C$7)*$C$6)</f>
        <v/>
      </c>
      <c r="L222" s="27">
        <f>IF(I222="","",I222/$C$5*(1+$C$8)+$E222*(1+$C$7)*$C$6)</f>
        <v/>
      </c>
      <c r="M222" s="28">
        <f>IF(J222="","",ROUND(J222*(1+$C$9),2))</f>
        <v/>
      </c>
      <c r="N222" s="28">
        <f>IF(K222="","",ROUND(K222*(1+$C$9),2))</f>
        <v/>
      </c>
      <c r="O222" s="28">
        <f>IF(L222="","",ROUND(L222*(1+$C$9),2))</f>
        <v/>
      </c>
      <c r="P222" s="29">
        <f>TRIM(IF($B222="NOT ASSIGNED","No NW part no. ","")&amp;IFERROR(IF(INDEX(Conversion!$J$2:$J$500,MATCH($A222,Conversion!$B$2:$B$500,0))="Needs review","Conversion table: needs review. ",""),"")&amp;IF(LEFT($F222,8)="ESTIMATE","Weight estimated. ","")&amp;"")</f>
        <v/>
      </c>
    </row>
    <row r="223">
      <c r="A223" s="19" t="inlineStr">
        <is>
          <t>RVST025</t>
        </is>
      </c>
      <c r="B223" s="20">
        <f>IFERROR(INDEX(Conversion!$C$2:$C$500,MATCH($A223,Conversion!$B$2:$B$500,0)),"NOT ASSIGNED")</f>
        <v/>
      </c>
      <c r="C223" s="21" t="inlineStr">
        <is>
          <t>St.st. hose tail, 1/2" male x 25mm</t>
        </is>
      </c>
      <c r="D223" s="22" t="inlineStr">
        <is>
          <t>Hose tail, 25 mm x 1/2" M, stainless steel 316</t>
        </is>
      </c>
      <c r="E223" s="30" t="n">
        <v>0.06</v>
      </c>
      <c r="F223" s="24" t="inlineStr">
        <is>
          <t>ESTIMATE - catalogue gives dimensions only (p.68-71)</t>
        </is>
      </c>
      <c r="G223" s="25" t="n">
        <v>14.815152</v>
      </c>
      <c r="H223" s="25" t="n">
        <v>12.963258</v>
      </c>
      <c r="I223" s="25" t="n">
        <v>12.037311</v>
      </c>
      <c r="J223" s="27">
        <f>IF(G223="","",G223/$C$5*(1+$C$8)+$E223*(1+$C$7)*$C$6)</f>
        <v/>
      </c>
      <c r="K223" s="27">
        <f>IF(H223="","",H223/$C$5*(1+$C$8)+$E223*(1+$C$7)*$C$6)</f>
        <v/>
      </c>
      <c r="L223" s="27">
        <f>IF(I223="","",I223/$C$5*(1+$C$8)+$E223*(1+$C$7)*$C$6)</f>
        <v/>
      </c>
      <c r="M223" s="28">
        <f>IF(J223="","",ROUND(J223*(1+$C$9),2))</f>
        <v/>
      </c>
      <c r="N223" s="28">
        <f>IF(K223="","",ROUND(K223*(1+$C$9),2))</f>
        <v/>
      </c>
      <c r="O223" s="28">
        <f>IF(L223="","",ROUND(L223*(1+$C$9),2))</f>
        <v/>
      </c>
      <c r="P223" s="29">
        <f>TRIM(IF($B223="NOT ASSIGNED","No NW part no. ","")&amp;IFERROR(IF(INDEX(Conversion!$J$2:$J$500,MATCH($A223,Conversion!$B$2:$B$500,0))="Needs review","Conversion table: needs review. ",""),"")&amp;IF(LEFT($F223,8)="ESTIMATE","Weight estimated. ","")&amp;"")</f>
        <v/>
      </c>
    </row>
    <row r="225">
      <c r="A225" s="16" t="inlineStr">
        <is>
          <t>Qty break</t>
        </is>
      </c>
      <c r="B225" s="17" t="n"/>
      <c r="C225" s="17" t="n"/>
      <c r="D225" s="17" t="n"/>
      <c r="E225" s="17" t="n"/>
      <c r="F225" s="17" t="n"/>
      <c r="G225" s="18" t="inlineStr">
        <is>
          <t>&lt; 10 pcs</t>
        </is>
      </c>
      <c r="H225" s="18" t="inlineStr">
        <is>
          <t>≥ 10 pcs</t>
        </is>
      </c>
      <c r="I225" s="18" t="inlineStr">
        <is>
          <t>≥ 50 pcs</t>
        </is>
      </c>
      <c r="J225" s="18" t="inlineStr">
        <is>
          <t>&lt; 10 pcs</t>
        </is>
      </c>
      <c r="K225" s="18" t="inlineStr">
        <is>
          <t>≥ 10 pcs</t>
        </is>
      </c>
      <c r="L225" s="18" t="inlineStr">
        <is>
          <t>≥ 50 pcs</t>
        </is>
      </c>
      <c r="M225" s="18" t="inlineStr">
        <is>
          <t>&lt; 10 pcs</t>
        </is>
      </c>
      <c r="N225" s="18" t="inlineStr">
        <is>
          <t>≥ 10 pcs</t>
        </is>
      </c>
      <c r="O225" s="18" t="inlineStr">
        <is>
          <t>≥ 50 pcs</t>
        </is>
      </c>
      <c r="P225" s="17" t="n"/>
    </row>
    <row r="226">
      <c r="A226" s="19" t="inlineStr">
        <is>
          <t>RVSW13C17-12C</t>
        </is>
      </c>
      <c r="B226" s="20">
        <f>IFERROR(INDEX(Conversion!$C$2:$C$500,MATCH($A226,Conversion!$B$2:$B$500,0)),"NOT ASSIGNED")</f>
        <v/>
      </c>
      <c r="C226" s="21" t="inlineStr">
        <is>
          <t>St.st. hose tail 13mm x 1/2" BSP female screw cap with conical seal, 17mm collar</t>
        </is>
      </c>
      <c r="D226" s="22" t="inlineStr">
        <is>
          <t>Hose tail w/ union nut, 13 mm x 1/2" F, conical seal, 17 mm collar, stainless steel 316</t>
        </is>
      </c>
      <c r="E226" s="30" t="n">
        <v>0.06</v>
      </c>
      <c r="F226" s="24" t="inlineStr">
        <is>
          <t>ESTIMATE - catalogue gives dimensions only (p.68-71)</t>
        </is>
      </c>
      <c r="G226" s="25" t="n">
        <v>17.43324</v>
      </c>
      <c r="H226" s="25" t="n">
        <v>13.946592</v>
      </c>
      <c r="I226" s="25" t="n">
        <v>12.203268</v>
      </c>
      <c r="J226" s="27">
        <f>IF(G226="","",G226/$C$5*(1+$C$8)+$E226*(1+$C$7)*$C$6)</f>
        <v/>
      </c>
      <c r="K226" s="27">
        <f>IF(H226="","",H226/$C$5*(1+$C$8)+$E226*(1+$C$7)*$C$6)</f>
        <v/>
      </c>
      <c r="L226" s="27">
        <f>IF(I226="","",I226/$C$5*(1+$C$8)+$E226*(1+$C$7)*$C$6)</f>
        <v/>
      </c>
      <c r="M226" s="28">
        <f>IF(J226="","",ROUND(J226*(1+$C$9),2))</f>
        <v/>
      </c>
      <c r="N226" s="28">
        <f>IF(K226="","",ROUND(K226*(1+$C$9),2))</f>
        <v/>
      </c>
      <c r="O226" s="28">
        <f>IF(L226="","",ROUND(L226*(1+$C$9),2))</f>
        <v/>
      </c>
      <c r="P226" s="29">
        <f>TRIM(IF($B226="NOT ASSIGNED","No NW part no. ","")&amp;IFERROR(IF(INDEX(Conversion!$J$2:$J$500,MATCH($A226,Conversion!$B$2:$B$500,0))="Needs review","Conversion table: needs review. ",""),"")&amp;IF(LEFT($F226,8)="ESTIMATE","Weight estimated. ","")&amp;"")</f>
        <v/>
      </c>
    </row>
    <row r="227">
      <c r="A227" s="19" t="inlineStr">
        <is>
          <t>RVSW13C17-34F</t>
        </is>
      </c>
      <c r="B227" s="20">
        <f>IFERROR(INDEX(Conversion!$C$2:$C$500,MATCH($A227,Conversion!$B$2:$B$500,0)),"NOT ASSIGNED")</f>
        <v/>
      </c>
      <c r="C227" s="21" t="inlineStr">
        <is>
          <t>St.st. hose tail 13mm x 3/4" BSP female screw cap with flat seal, 17mm collar</t>
        </is>
      </c>
      <c r="D227" s="22" t="inlineStr">
        <is>
          <t>Hose tail w/ union nut, 13 mm x 3/4" F, flat seal, 17 mm collar, stainless steel 316</t>
        </is>
      </c>
      <c r="E227" s="30" t="n">
        <v>0.07000000000000001</v>
      </c>
      <c r="F227" s="24" t="inlineStr">
        <is>
          <t>ESTIMATE - catalogue gives dimensions only (p.68-71)</t>
        </is>
      </c>
      <c r="G227" s="25" t="n">
        <v>17.43324</v>
      </c>
      <c r="H227" s="25" t="n">
        <v>13.946592</v>
      </c>
      <c r="I227" s="25" t="n">
        <v>12.203268</v>
      </c>
      <c r="J227" s="27">
        <f>IF(G227="","",G227/$C$5*(1+$C$8)+$E227*(1+$C$7)*$C$6)</f>
        <v/>
      </c>
      <c r="K227" s="27">
        <f>IF(H227="","",H227/$C$5*(1+$C$8)+$E227*(1+$C$7)*$C$6)</f>
        <v/>
      </c>
      <c r="L227" s="27">
        <f>IF(I227="","",I227/$C$5*(1+$C$8)+$E227*(1+$C$7)*$C$6)</f>
        <v/>
      </c>
      <c r="M227" s="28">
        <f>IF(J227="","",ROUND(J227*(1+$C$9),2))</f>
        <v/>
      </c>
      <c r="N227" s="28">
        <f>IF(K227="","",ROUND(K227*(1+$C$9),2))</f>
        <v/>
      </c>
      <c r="O227" s="28">
        <f>IF(L227="","",ROUND(L227*(1+$C$9),2))</f>
        <v/>
      </c>
      <c r="P227" s="29">
        <f>TRIM(IF($B227="NOT ASSIGNED","No NW part no. ","")&amp;IFERROR(IF(INDEX(Conversion!$J$2:$J$500,MATCH($A227,Conversion!$B$2:$B$500,0))="Needs review","Conversion table: needs review. ",""),"")&amp;IF(LEFT($F227,8)="ESTIMATE","Weight estimated. ","")&amp;"")</f>
        <v/>
      </c>
    </row>
    <row r="228">
      <c r="A228" s="19" t="inlineStr">
        <is>
          <t>RVSW13C20-12C</t>
        </is>
      </c>
      <c r="B228" s="20">
        <f>IFERROR(INDEX(Conversion!$C$2:$C$500,MATCH($A228,Conversion!$B$2:$B$500,0)),"NOT ASSIGNED")</f>
        <v/>
      </c>
      <c r="C228" s="21" t="inlineStr">
        <is>
          <t>St.st. hose tail 13mm x 1/2" BSP female screw cap with conical seal, 20mm collar</t>
        </is>
      </c>
      <c r="D228" s="22" t="inlineStr">
        <is>
          <t>Hose tail w/ union nut, 13 mm x 1/2" F, conical seal, 20 mm collar, stainless steel 316</t>
        </is>
      </c>
      <c r="E228" s="30" t="n">
        <v>0.06</v>
      </c>
      <c r="F228" s="24" t="inlineStr">
        <is>
          <t>ESTIMATE - catalogue gives dimensions only (p.68-71)</t>
        </is>
      </c>
      <c r="G228" s="25" t="n">
        <v>17.43324</v>
      </c>
      <c r="H228" s="25" t="n">
        <v>13.946592</v>
      </c>
      <c r="I228" s="25" t="n">
        <v>12.203268</v>
      </c>
      <c r="J228" s="27">
        <f>IF(G228="","",G228/$C$5*(1+$C$8)+$E228*(1+$C$7)*$C$6)</f>
        <v/>
      </c>
      <c r="K228" s="27">
        <f>IF(H228="","",H228/$C$5*(1+$C$8)+$E228*(1+$C$7)*$C$6)</f>
        <v/>
      </c>
      <c r="L228" s="27">
        <f>IF(I228="","",I228/$C$5*(1+$C$8)+$E228*(1+$C$7)*$C$6)</f>
        <v/>
      </c>
      <c r="M228" s="28">
        <f>IF(J228="","",ROUND(J228*(1+$C$9),2))</f>
        <v/>
      </c>
      <c r="N228" s="28">
        <f>IF(K228="","",ROUND(K228*(1+$C$9),2))</f>
        <v/>
      </c>
      <c r="O228" s="28">
        <f>IF(L228="","",ROUND(L228*(1+$C$9),2))</f>
        <v/>
      </c>
      <c r="P228" s="29">
        <f>TRIM(IF($B228="NOT ASSIGNED","No NW part no. ","")&amp;IFERROR(IF(INDEX(Conversion!$J$2:$J$500,MATCH($A228,Conversion!$B$2:$B$500,0))="Needs review","Conversion table: needs review. ",""),"")&amp;IF(LEFT($F228,8)="ESTIMATE","Weight estimated. ","")&amp;"")</f>
        <v/>
      </c>
    </row>
    <row r="229">
      <c r="A229" s="19" t="inlineStr">
        <is>
          <t>RVSW13C20-12F</t>
        </is>
      </c>
      <c r="B229" s="20">
        <f>IFERROR(INDEX(Conversion!$C$2:$C$500,MATCH($A229,Conversion!$B$2:$B$500,0)),"NOT ASSIGNED")</f>
        <v/>
      </c>
      <c r="C229" s="21" t="inlineStr">
        <is>
          <t>St.st. hose tail 13mm x 1/2" BSP female screw cap with flat seal, 20mm collar</t>
        </is>
      </c>
      <c r="D229" s="22" t="inlineStr">
        <is>
          <t>Hose tail w/ union nut, 13 mm x 1/2" F, flat seal, 20 mm collar, stainless steel 316</t>
        </is>
      </c>
      <c r="E229" s="30" t="n">
        <v>0.06</v>
      </c>
      <c r="F229" s="24" t="inlineStr">
        <is>
          <t>ESTIMATE - catalogue gives dimensions only (p.68-71)</t>
        </is>
      </c>
      <c r="G229" s="25" t="n">
        <v>17.43324</v>
      </c>
      <c r="H229" s="25" t="n">
        <v>13.946592</v>
      </c>
      <c r="I229" s="25" t="n">
        <v>12.203268</v>
      </c>
      <c r="J229" s="27">
        <f>IF(G229="","",G229/$C$5*(1+$C$8)+$E229*(1+$C$7)*$C$6)</f>
        <v/>
      </c>
      <c r="K229" s="27">
        <f>IF(H229="","",H229/$C$5*(1+$C$8)+$E229*(1+$C$7)*$C$6)</f>
        <v/>
      </c>
      <c r="L229" s="27">
        <f>IF(I229="","",I229/$C$5*(1+$C$8)+$E229*(1+$C$7)*$C$6)</f>
        <v/>
      </c>
      <c r="M229" s="28">
        <f>IF(J229="","",ROUND(J229*(1+$C$9),2))</f>
        <v/>
      </c>
      <c r="N229" s="28">
        <f>IF(K229="","",ROUND(K229*(1+$C$9),2))</f>
        <v/>
      </c>
      <c r="O229" s="28">
        <f>IF(L229="","",ROUND(L229*(1+$C$9),2))</f>
        <v/>
      </c>
      <c r="P229" s="29">
        <f>TRIM(IF($B229="NOT ASSIGNED","No NW part no. ","")&amp;IFERROR(IF(INDEX(Conversion!$J$2:$J$500,MATCH($A229,Conversion!$B$2:$B$500,0))="Needs review","Conversion table: needs review. ",""),"")&amp;IF(LEFT($F229,8)="ESTIMATE","Weight estimated. ","")&amp;"")</f>
        <v/>
      </c>
    </row>
    <row r="230">
      <c r="A230" s="19" t="inlineStr">
        <is>
          <t>RVSW13C20-12FS</t>
        </is>
      </c>
      <c r="B230" s="20">
        <f>IFERROR(INDEX(Conversion!$C$2:$C$500,MATCH($A230,Conversion!$B$2:$B$500,0)),"NOT ASSIGNED")</f>
        <v/>
      </c>
      <c r="C230" s="21" t="inlineStr">
        <is>
          <t>St.st. hose tail 13mm x 1/2" BSP female screw cap with flat seal, 20mm collar and spring</t>
        </is>
      </c>
      <c r="D230" s="22" t="inlineStr">
        <is>
          <t>Hose tail w/ union nut, 13 mm x 1/2" F, flat seal, 20 mm collar, w/ anti-kink spring, stainless steel 316</t>
        </is>
      </c>
      <c r="E230" s="30" t="n">
        <v>0.1</v>
      </c>
      <c r="F230" s="24" t="inlineStr">
        <is>
          <t>ESTIMATE - catalogue gives dimensions only (p.68-71)</t>
        </is>
      </c>
      <c r="G230" s="25" t="n">
        <v>24.68158</v>
      </c>
      <c r="H230" s="25" t="n">
        <v>19.745264</v>
      </c>
      <c r="I230" s="25" t="n">
        <v>17.277106</v>
      </c>
      <c r="J230" s="27">
        <f>IF(G230="","",G230/$C$5*(1+$C$8)+$E230*(1+$C$7)*$C$6)</f>
        <v/>
      </c>
      <c r="K230" s="27">
        <f>IF(H230="","",H230/$C$5*(1+$C$8)+$E230*(1+$C$7)*$C$6)</f>
        <v/>
      </c>
      <c r="L230" s="27">
        <f>IF(I230="","",I230/$C$5*(1+$C$8)+$E230*(1+$C$7)*$C$6)</f>
        <v/>
      </c>
      <c r="M230" s="28">
        <f>IF(J230="","",ROUND(J230*(1+$C$9),2))</f>
        <v/>
      </c>
      <c r="N230" s="28">
        <f>IF(K230="","",ROUND(K230*(1+$C$9),2))</f>
        <v/>
      </c>
      <c r="O230" s="28">
        <f>IF(L230="","",ROUND(L230*(1+$C$9),2))</f>
        <v/>
      </c>
      <c r="P230" s="29">
        <f>TRIM(IF($B230="NOT ASSIGNED","No NW part no. ","")&amp;IFERROR(IF(INDEX(Conversion!$J$2:$J$500,MATCH($A230,Conversion!$B$2:$B$500,0))="Needs review","Conversion table: needs review. ",""),"")&amp;IF(LEFT($F230,8)="ESTIMATE","Weight estimated. ","")&amp;"")</f>
        <v/>
      </c>
    </row>
    <row r="231">
      <c r="A231" s="19" t="inlineStr">
        <is>
          <t>RVSW13C20-34F</t>
        </is>
      </c>
      <c r="B231" s="20">
        <f>IFERROR(INDEX(Conversion!$C$2:$C$500,MATCH($A231,Conversion!$B$2:$B$500,0)),"NOT ASSIGNED")</f>
        <v/>
      </c>
      <c r="C231" s="21" t="inlineStr">
        <is>
          <t>St.st. hose tail 13mm x 3/4" BSP female screw cap with flat seal, 20mm collar</t>
        </is>
      </c>
      <c r="D231" s="22" t="inlineStr">
        <is>
          <t>Hose tail w/ union nut, 13 mm x 3/4" F, flat seal, 20 mm collar, stainless steel 316</t>
        </is>
      </c>
      <c r="E231" s="30" t="n">
        <v>0.07000000000000001</v>
      </c>
      <c r="F231" s="24" t="inlineStr">
        <is>
          <t>ESTIMATE - catalogue gives dimensions only (p.68-71)</t>
        </is>
      </c>
      <c r="G231" s="25" t="n">
        <v>17.43324</v>
      </c>
      <c r="H231" s="25" t="n">
        <v>13.946592</v>
      </c>
      <c r="I231" s="25" t="n">
        <v>12.203268</v>
      </c>
      <c r="J231" s="27">
        <f>IF(G231="","",G231/$C$5*(1+$C$8)+$E231*(1+$C$7)*$C$6)</f>
        <v/>
      </c>
      <c r="K231" s="27">
        <f>IF(H231="","",H231/$C$5*(1+$C$8)+$E231*(1+$C$7)*$C$6)</f>
        <v/>
      </c>
      <c r="L231" s="27">
        <f>IF(I231="","",I231/$C$5*(1+$C$8)+$E231*(1+$C$7)*$C$6)</f>
        <v/>
      </c>
      <c r="M231" s="28">
        <f>IF(J231="","",ROUND(J231*(1+$C$9),2))</f>
        <v/>
      </c>
      <c r="N231" s="28">
        <f>IF(K231="","",ROUND(K231*(1+$C$9),2))</f>
        <v/>
      </c>
      <c r="O231" s="28">
        <f>IF(L231="","",ROUND(L231*(1+$C$9),2))</f>
        <v/>
      </c>
      <c r="P231" s="29">
        <f>TRIM(IF($B231="NOT ASSIGNED","No NW part no. ","")&amp;IFERROR(IF(INDEX(Conversion!$J$2:$J$500,MATCH($A231,Conversion!$B$2:$B$500,0))="Needs review","Conversion table: needs review. ",""),"")&amp;IF(LEFT($F231,8)="ESTIMATE","Weight estimated. ","")&amp;"")</f>
        <v/>
      </c>
    </row>
    <row r="232">
      <c r="A232" s="19" t="inlineStr">
        <is>
          <t>RVSW16C21-12C</t>
        </is>
      </c>
      <c r="B232" s="20">
        <f>IFERROR(INDEX(Conversion!$C$2:$C$500,MATCH($A232,Conversion!$B$2:$B$500,0)),"NOT ASSIGNED")</f>
        <v/>
      </c>
      <c r="C232" s="21" t="inlineStr">
        <is>
          <t>St.st. hose tail 16mm x 1/2" BSP female screw cap with conical seal, 21mm collar</t>
        </is>
      </c>
      <c r="D232" s="22" t="inlineStr">
        <is>
          <t>Hose tail w/ union nut, 16 mm x 1/2" F, conical seal, 21 mm collar, stainless steel 316</t>
        </is>
      </c>
      <c r="E232" s="30" t="n">
        <v>0.07000000000000001</v>
      </c>
      <c r="F232" s="24" t="inlineStr">
        <is>
          <t>ESTIMATE - catalogue gives dimensions only (p.68-71)</t>
        </is>
      </c>
      <c r="G232" s="25" t="n">
        <v>21.02122</v>
      </c>
      <c r="H232" s="25" t="n">
        <v>16.816976</v>
      </c>
      <c r="I232" s="25" t="n">
        <v>14.714854</v>
      </c>
      <c r="J232" s="27">
        <f>IF(G232="","",G232/$C$5*(1+$C$8)+$E232*(1+$C$7)*$C$6)</f>
        <v/>
      </c>
      <c r="K232" s="27">
        <f>IF(H232="","",H232/$C$5*(1+$C$8)+$E232*(1+$C$7)*$C$6)</f>
        <v/>
      </c>
      <c r="L232" s="27">
        <f>IF(I232="","",I232/$C$5*(1+$C$8)+$E232*(1+$C$7)*$C$6)</f>
        <v/>
      </c>
      <c r="M232" s="28">
        <f>IF(J232="","",ROUND(J232*(1+$C$9),2))</f>
        <v/>
      </c>
      <c r="N232" s="28">
        <f>IF(K232="","",ROUND(K232*(1+$C$9),2))</f>
        <v/>
      </c>
      <c r="O232" s="28">
        <f>IF(L232="","",ROUND(L232*(1+$C$9),2))</f>
        <v/>
      </c>
      <c r="P232" s="29">
        <f>TRIM(IF($B232="NOT ASSIGNED","No NW part no. ","")&amp;IFERROR(IF(INDEX(Conversion!$J$2:$J$500,MATCH($A232,Conversion!$B$2:$B$500,0))="Needs review","Conversion table: needs review. ",""),"")&amp;IF(LEFT($F232,8)="ESTIMATE","Weight estimated. ","")&amp;"")</f>
        <v/>
      </c>
    </row>
    <row r="233">
      <c r="A233" s="19" t="inlineStr">
        <is>
          <t>RVSW16C21-12CS</t>
        </is>
      </c>
      <c r="B233" s="20">
        <f>IFERROR(INDEX(Conversion!$C$2:$C$500,MATCH($A233,Conversion!$B$2:$B$500,0)),"NOT ASSIGNED")</f>
        <v/>
      </c>
      <c r="C233" s="21" t="inlineStr">
        <is>
          <t>St.st. hose tail 16mm x 1/2" BSP female screw cap with conical seal, 21mm collar and spring</t>
        </is>
      </c>
      <c r="D233" s="22" t="inlineStr">
        <is>
          <t>Hose tail w/ union nut, 16 mm x 1/2" F, conical seal, 21 mm collar, w/ anti-kink spring, stainless steel 316</t>
        </is>
      </c>
      <c r="E233" s="30" t="n">
        <v>0.11</v>
      </c>
      <c r="F233" s="24" t="inlineStr">
        <is>
          <t>ESTIMATE - catalogue gives dimensions only (p.68-71)</t>
        </is>
      </c>
      <c r="G233" s="25" t="n">
        <v>25.61218</v>
      </c>
      <c r="H233" s="25" t="n">
        <v>20.489744</v>
      </c>
      <c r="I233" s="25" t="n">
        <v>17.928526</v>
      </c>
      <c r="J233" s="27">
        <f>IF(G233="","",G233/$C$5*(1+$C$8)+$E233*(1+$C$7)*$C$6)</f>
        <v/>
      </c>
      <c r="K233" s="27">
        <f>IF(H233="","",H233/$C$5*(1+$C$8)+$E233*(1+$C$7)*$C$6)</f>
        <v/>
      </c>
      <c r="L233" s="27">
        <f>IF(I233="","",I233/$C$5*(1+$C$8)+$E233*(1+$C$7)*$C$6)</f>
        <v/>
      </c>
      <c r="M233" s="28">
        <f>IF(J233="","",ROUND(J233*(1+$C$9),2))</f>
        <v/>
      </c>
      <c r="N233" s="28">
        <f>IF(K233="","",ROUND(K233*(1+$C$9),2))</f>
        <v/>
      </c>
      <c r="O233" s="28">
        <f>IF(L233="","",ROUND(L233*(1+$C$9),2))</f>
        <v/>
      </c>
      <c r="P233" s="29">
        <f>TRIM(IF($B233="NOT ASSIGNED","No NW part no. ","")&amp;IFERROR(IF(INDEX(Conversion!$J$2:$J$500,MATCH($A233,Conversion!$B$2:$B$500,0))="Needs review","Conversion table: needs review. ",""),"")&amp;IF(LEFT($F233,8)="ESTIMATE","Weight estimated. ","")&amp;"")</f>
        <v/>
      </c>
    </row>
    <row r="234">
      <c r="A234" s="19" t="inlineStr">
        <is>
          <t>RVSW16C21-12F</t>
        </is>
      </c>
      <c r="B234" s="20">
        <f>IFERROR(INDEX(Conversion!$C$2:$C$500,MATCH($A234,Conversion!$B$2:$B$500,0)),"NOT ASSIGNED")</f>
        <v/>
      </c>
      <c r="C234" s="21" t="inlineStr">
        <is>
          <t>St.st. hose tail 16mm x 1/2" BSP female screw cap with flat seal, 21mm collar</t>
        </is>
      </c>
      <c r="D234" s="22" t="inlineStr">
        <is>
          <t>Hose tail w/ union nut, 16 mm x 1/2" F, flat seal, 21 mm collar, stainless steel 316</t>
        </is>
      </c>
      <c r="E234" s="30" t="n">
        <v>0.07000000000000001</v>
      </c>
      <c r="F234" s="24" t="inlineStr">
        <is>
          <t>ESTIMATE - catalogue gives dimensions only (p.68-71)</t>
        </is>
      </c>
      <c r="G234" s="25" t="n">
        <v>25.39504</v>
      </c>
      <c r="H234" s="25" t="n">
        <v>20.316032</v>
      </c>
      <c r="I234" s="25" t="n">
        <v>17.776528</v>
      </c>
      <c r="J234" s="27">
        <f>IF(G234="","",G234/$C$5*(1+$C$8)+$E234*(1+$C$7)*$C$6)</f>
        <v/>
      </c>
      <c r="K234" s="27">
        <f>IF(H234="","",H234/$C$5*(1+$C$8)+$E234*(1+$C$7)*$C$6)</f>
        <v/>
      </c>
      <c r="L234" s="27">
        <f>IF(I234="","",I234/$C$5*(1+$C$8)+$E234*(1+$C$7)*$C$6)</f>
        <v/>
      </c>
      <c r="M234" s="28">
        <f>IF(J234="","",ROUND(J234*(1+$C$9),2))</f>
        <v/>
      </c>
      <c r="N234" s="28">
        <f>IF(K234="","",ROUND(K234*(1+$C$9),2))</f>
        <v/>
      </c>
      <c r="O234" s="28">
        <f>IF(L234="","",ROUND(L234*(1+$C$9),2))</f>
        <v/>
      </c>
      <c r="P234" s="29">
        <f>TRIM(IF($B234="NOT ASSIGNED","No NW part no. ","")&amp;IFERROR(IF(INDEX(Conversion!$J$2:$J$500,MATCH($A234,Conversion!$B$2:$B$500,0))="Needs review","Conversion table: needs review. ",""),"")&amp;IF(LEFT($F234,8)="ESTIMATE","Weight estimated. ","")&amp;"")</f>
        <v/>
      </c>
    </row>
    <row r="235">
      <c r="A235" s="19" t="inlineStr">
        <is>
          <t>RVSW16C21-34F</t>
        </is>
      </c>
      <c r="B235" s="20">
        <f>IFERROR(INDEX(Conversion!$C$2:$C$500,MATCH($A235,Conversion!$B$2:$B$500,0)),"NOT ASSIGNED")</f>
        <v/>
      </c>
      <c r="C235" s="21" t="inlineStr">
        <is>
          <t>St.st. hose tail 16mm x 3/4" BSP female screw cap with flat seal, 21mm collar</t>
        </is>
      </c>
      <c r="D235" s="22" t="inlineStr">
        <is>
          <t>Hose tail w/ union nut, 16 mm x 3/4" F, flat seal, 21 mm collar, stainless steel 316</t>
        </is>
      </c>
      <c r="E235" s="30" t="n">
        <v>0.08</v>
      </c>
      <c r="F235" s="24" t="inlineStr">
        <is>
          <t>ESTIMATE - catalogue gives dimensions only (p.68-71)</t>
        </is>
      </c>
      <c r="G235" s="25" t="n">
        <v>25.39504</v>
      </c>
      <c r="H235" s="25" t="n">
        <v>20.316032</v>
      </c>
      <c r="I235" s="25" t="n">
        <v>17.776528</v>
      </c>
      <c r="J235" s="27">
        <f>IF(G235="","",G235/$C$5*(1+$C$8)+$E235*(1+$C$7)*$C$6)</f>
        <v/>
      </c>
      <c r="K235" s="27">
        <f>IF(H235="","",H235/$C$5*(1+$C$8)+$E235*(1+$C$7)*$C$6)</f>
        <v/>
      </c>
      <c r="L235" s="27">
        <f>IF(I235="","",I235/$C$5*(1+$C$8)+$E235*(1+$C$7)*$C$6)</f>
        <v/>
      </c>
      <c r="M235" s="28">
        <f>IF(J235="","",ROUND(J235*(1+$C$9),2))</f>
        <v/>
      </c>
      <c r="N235" s="28">
        <f>IF(K235="","",ROUND(K235*(1+$C$9),2))</f>
        <v/>
      </c>
      <c r="O235" s="28">
        <f>IF(L235="","",ROUND(L235*(1+$C$9),2))</f>
        <v/>
      </c>
      <c r="P235" s="29">
        <f>TRIM(IF($B235="NOT ASSIGNED","No NW part no. ","")&amp;IFERROR(IF(INDEX(Conversion!$J$2:$J$500,MATCH($A235,Conversion!$B$2:$B$500,0))="Needs review","Conversion table: needs review. ",""),"")&amp;IF(LEFT($F235,8)="ESTIMATE","Weight estimated. ","")&amp;"")</f>
        <v/>
      </c>
    </row>
    <row r="236">
      <c r="A236" s="19" t="inlineStr">
        <is>
          <t>RVSW19C24-34C</t>
        </is>
      </c>
      <c r="B236" s="20">
        <f>IFERROR(INDEX(Conversion!$C$2:$C$500,MATCH($A236,Conversion!$B$2:$B$500,0)),"NOT ASSIGNED")</f>
        <v/>
      </c>
      <c r="C236" s="21" t="inlineStr">
        <is>
          <t>St.st. hose tail 19mm x 3/4" BSP female screw cap with conical seal, 24mm collar</t>
        </is>
      </c>
      <c r="D236" s="22" t="inlineStr">
        <is>
          <t>Hose tail w/ union nut, 19 mm x 3/4" F, conical seal, 24 mm collar, stainless steel 316</t>
        </is>
      </c>
      <c r="E236" s="30" t="n">
        <v>0.09</v>
      </c>
      <c r="F236" s="24" t="inlineStr">
        <is>
          <t>ESTIMATE - catalogue gives dimensions only (p.68-71)</t>
        </is>
      </c>
      <c r="G236" s="25" t="n">
        <v>25.61218</v>
      </c>
      <c r="H236" s="25" t="n">
        <v>20.489744</v>
      </c>
      <c r="I236" s="25" t="n">
        <v>17.928526</v>
      </c>
      <c r="J236" s="27">
        <f>IF(G236="","",G236/$C$5*(1+$C$8)+$E236*(1+$C$7)*$C$6)</f>
        <v/>
      </c>
      <c r="K236" s="27">
        <f>IF(H236="","",H236/$C$5*(1+$C$8)+$E236*(1+$C$7)*$C$6)</f>
        <v/>
      </c>
      <c r="L236" s="27">
        <f>IF(I236="","",I236/$C$5*(1+$C$8)+$E236*(1+$C$7)*$C$6)</f>
        <v/>
      </c>
      <c r="M236" s="28">
        <f>IF(J236="","",ROUND(J236*(1+$C$9),2))</f>
        <v/>
      </c>
      <c r="N236" s="28">
        <f>IF(K236="","",ROUND(K236*(1+$C$9),2))</f>
        <v/>
      </c>
      <c r="O236" s="28">
        <f>IF(L236="","",ROUND(L236*(1+$C$9),2))</f>
        <v/>
      </c>
      <c r="P236" s="29">
        <f>TRIM(IF($B236="NOT ASSIGNED","No NW part no. ","")&amp;IFERROR(IF(INDEX(Conversion!$J$2:$J$500,MATCH($A236,Conversion!$B$2:$B$500,0))="Needs review","Conversion table: needs review. ",""),"")&amp;IF(LEFT($F236,8)="ESTIMATE","Weight estimated. ","")&amp;"")</f>
        <v/>
      </c>
    </row>
    <row r="237">
      <c r="A237" s="19" t="inlineStr">
        <is>
          <t>RVSW19C24-34F</t>
        </is>
      </c>
      <c r="B237" s="20">
        <f>IFERROR(INDEX(Conversion!$C$2:$C$500,MATCH($A237,Conversion!$B$2:$B$500,0)),"NOT ASSIGNED")</f>
        <v/>
      </c>
      <c r="C237" s="21" t="inlineStr">
        <is>
          <t>St.st. hose tail 19mm x 3/4" BSP female screw cap with flat seal, 24mm collar</t>
        </is>
      </c>
      <c r="D237" s="22" t="inlineStr">
        <is>
          <t>Hose tail w/ union nut, 19 mm x 3/4" F, flat seal, 24 mm collar, stainless steel 316</t>
        </is>
      </c>
      <c r="E237" s="30" t="n">
        <v>0.09</v>
      </c>
      <c r="F237" s="24" t="inlineStr">
        <is>
          <t>ESTIMATE - catalogue gives dimensions only (p.68-71)</t>
        </is>
      </c>
      <c r="G237" s="25" t="n">
        <v>26.4704</v>
      </c>
      <c r="H237" s="25" t="n">
        <v>21.17632</v>
      </c>
      <c r="I237" s="25" t="n">
        <v>18.52928</v>
      </c>
      <c r="J237" s="27">
        <f>IF(G237="","",G237/$C$5*(1+$C$8)+$E237*(1+$C$7)*$C$6)</f>
        <v/>
      </c>
      <c r="K237" s="27">
        <f>IF(H237="","",H237/$C$5*(1+$C$8)+$E237*(1+$C$7)*$C$6)</f>
        <v/>
      </c>
      <c r="L237" s="27">
        <f>IF(I237="","",I237/$C$5*(1+$C$8)+$E237*(1+$C$7)*$C$6)</f>
        <v/>
      </c>
      <c r="M237" s="28">
        <f>IF(J237="","",ROUND(J237*(1+$C$9),2))</f>
        <v/>
      </c>
      <c r="N237" s="28">
        <f>IF(K237="","",ROUND(K237*(1+$C$9),2))</f>
        <v/>
      </c>
      <c r="O237" s="28">
        <f>IF(L237="","",ROUND(L237*(1+$C$9),2))</f>
        <v/>
      </c>
      <c r="P237" s="29">
        <f>TRIM(IF($B237="NOT ASSIGNED","No NW part no. ","")&amp;IFERROR(IF(INDEX(Conversion!$J$2:$J$500,MATCH($A237,Conversion!$B$2:$B$500,0))="Needs review","Conversion table: needs review. ",""),"")&amp;IF(LEFT($F237,8)="ESTIMATE","Weight estimated. ","")&amp;"")</f>
        <v/>
      </c>
    </row>
    <row r="238">
      <c r="A238" s="19" t="inlineStr">
        <is>
          <t>RVSW19C24-1C</t>
        </is>
      </c>
      <c r="B238" s="20">
        <f>IFERROR(INDEX(Conversion!$C$2:$C$500,MATCH($A238,Conversion!$B$2:$B$500,0)),"NOT ASSIGNED")</f>
        <v/>
      </c>
      <c r="C238" s="21" t="inlineStr">
        <is>
          <t>St.st. hose tail 19mm x 1" BSP female screw cap with conical seal, 24mm collar</t>
        </is>
      </c>
      <c r="D238" s="22" t="inlineStr">
        <is>
          <t>Hose tail w/ union nut, 19 mm x 1" F, conical seal, 24 mm collar, stainless steel 316</t>
        </is>
      </c>
      <c r="E238" s="30" t="n">
        <v>0.11</v>
      </c>
      <c r="F238" s="24" t="inlineStr">
        <is>
          <t>ESTIMATE - catalogue gives dimensions only (p.68-71)</t>
        </is>
      </c>
      <c r="G238" s="25" t="n">
        <v>30.99932</v>
      </c>
      <c r="H238" s="25" t="n">
        <v>24.799456</v>
      </c>
      <c r="I238" s="25" t="n">
        <v>21.699524</v>
      </c>
      <c r="J238" s="27">
        <f>IF(G238="","",G238/$C$5*(1+$C$8)+$E238*(1+$C$7)*$C$6)</f>
        <v/>
      </c>
      <c r="K238" s="27">
        <f>IF(H238="","",H238/$C$5*(1+$C$8)+$E238*(1+$C$7)*$C$6)</f>
        <v/>
      </c>
      <c r="L238" s="27">
        <f>IF(I238="","",I238/$C$5*(1+$C$8)+$E238*(1+$C$7)*$C$6)</f>
        <v/>
      </c>
      <c r="M238" s="28">
        <f>IF(J238="","",ROUND(J238*(1+$C$9),2))</f>
        <v/>
      </c>
      <c r="N238" s="28">
        <f>IF(K238="","",ROUND(K238*(1+$C$9),2))</f>
        <v/>
      </c>
      <c r="O238" s="28">
        <f>IF(L238="","",ROUND(L238*(1+$C$9),2))</f>
        <v/>
      </c>
      <c r="P238" s="29">
        <f>TRIM(IF($B238="NOT ASSIGNED","No NW part no. ","")&amp;IFERROR(IF(INDEX(Conversion!$J$2:$J$500,MATCH($A238,Conversion!$B$2:$B$500,0))="Needs review","Conversion table: needs review. ",""),"")&amp;IF(LEFT($F238,8)="ESTIMATE","Weight estimated. ","")&amp;"")</f>
        <v/>
      </c>
    </row>
    <row r="239">
      <c r="A239" s="19" t="inlineStr">
        <is>
          <t>RVSW19C24-1F</t>
        </is>
      </c>
      <c r="B239" s="20">
        <f>IFERROR(INDEX(Conversion!$C$2:$C$500,MATCH($A239,Conversion!$B$2:$B$500,0)),"NOT ASSIGNED")</f>
        <v/>
      </c>
      <c r="C239" s="21" t="inlineStr">
        <is>
          <t>St.st. hose tail 19mm x 1" BSP female screw cap with flat seal, 24mm collar</t>
        </is>
      </c>
      <c r="D239" s="22" t="inlineStr">
        <is>
          <t>Hose tail w/ union nut, 19 mm x 1" F, flat seal, 24 mm collar, stainless steel 316</t>
        </is>
      </c>
      <c r="E239" s="30" t="n">
        <v>0.11</v>
      </c>
      <c r="F239" s="24" t="inlineStr">
        <is>
          <t>ESTIMATE - catalogue gives dimensions only (p.68-71)</t>
        </is>
      </c>
      <c r="G239" s="25" t="n">
        <v>32.1057</v>
      </c>
      <c r="H239" s="25" t="n">
        <v>25.68456</v>
      </c>
      <c r="I239" s="25" t="n">
        <v>22.47399</v>
      </c>
      <c r="J239" s="27">
        <f>IF(G239="","",G239/$C$5*(1+$C$8)+$E239*(1+$C$7)*$C$6)</f>
        <v/>
      </c>
      <c r="K239" s="27">
        <f>IF(H239="","",H239/$C$5*(1+$C$8)+$E239*(1+$C$7)*$C$6)</f>
        <v/>
      </c>
      <c r="L239" s="27">
        <f>IF(I239="","",I239/$C$5*(1+$C$8)+$E239*(1+$C$7)*$C$6)</f>
        <v/>
      </c>
      <c r="M239" s="28">
        <f>IF(J239="","",ROUND(J239*(1+$C$9),2))</f>
        <v/>
      </c>
      <c r="N239" s="28">
        <f>IF(K239="","",ROUND(K239*(1+$C$9),2))</f>
        <v/>
      </c>
      <c r="O239" s="28">
        <f>IF(L239="","",ROUND(L239*(1+$C$9),2))</f>
        <v/>
      </c>
      <c r="P239" s="29">
        <f>TRIM(IF($B239="NOT ASSIGNED","No NW part no. ","")&amp;IFERROR(IF(INDEX(Conversion!$J$2:$J$500,MATCH($A239,Conversion!$B$2:$B$500,0))="Needs review","Conversion table: needs review. ",""),"")&amp;IF(LEFT($F239,8)="ESTIMATE","Weight estimated. ","")&amp;"")</f>
        <v/>
      </c>
    </row>
    <row r="240">
      <c r="A240" s="19" t="inlineStr">
        <is>
          <t>RVSW25C36-1C</t>
        </is>
      </c>
      <c r="B240" s="20">
        <f>IFERROR(INDEX(Conversion!$C$2:$C$500,MATCH($A240,Conversion!$B$2:$B$500,0)),"NOT ASSIGNED")</f>
        <v/>
      </c>
      <c r="C240" s="21" t="inlineStr">
        <is>
          <t>St.st. hose tail 25mm x 1" BSP female screw cap with conical seal, 36mm collar</t>
        </is>
      </c>
      <c r="D240" s="22" t="inlineStr">
        <is>
          <t>Hose tail w/ union nut, 25 mm x 1" F, conical seal, 36 mm collar, stainless steel 316</t>
        </is>
      </c>
      <c r="E240" s="30" t="n">
        <v>0.13</v>
      </c>
      <c r="F240" s="24" t="inlineStr">
        <is>
          <t>ESTIMATE - catalogue gives dimensions only (p.68-71)</t>
        </is>
      </c>
      <c r="G240" s="25" t="n">
        <v>35.70402</v>
      </c>
      <c r="H240" s="25" t="n">
        <v>28.563216</v>
      </c>
      <c r="I240" s="25" t="n">
        <v>24.992814</v>
      </c>
      <c r="J240" s="27">
        <f>IF(G240="","",G240/$C$5*(1+$C$8)+$E240*(1+$C$7)*$C$6)</f>
        <v/>
      </c>
      <c r="K240" s="27">
        <f>IF(H240="","",H240/$C$5*(1+$C$8)+$E240*(1+$C$7)*$C$6)</f>
        <v/>
      </c>
      <c r="L240" s="27">
        <f>IF(I240="","",I240/$C$5*(1+$C$8)+$E240*(1+$C$7)*$C$6)</f>
        <v/>
      </c>
      <c r="M240" s="28">
        <f>IF(J240="","",ROUND(J240*(1+$C$9),2))</f>
        <v/>
      </c>
      <c r="N240" s="28">
        <f>IF(K240="","",ROUND(K240*(1+$C$9),2))</f>
        <v/>
      </c>
      <c r="O240" s="28">
        <f>IF(L240="","",ROUND(L240*(1+$C$9),2))</f>
        <v/>
      </c>
      <c r="P240" s="29">
        <f>TRIM(IF($B240="NOT ASSIGNED","No NW part no. ","")&amp;IFERROR(IF(INDEX(Conversion!$J$2:$J$500,MATCH($A240,Conversion!$B$2:$B$500,0))="Needs review","Conversion table: needs review. ",""),"")&amp;IF(LEFT($F240,8)="ESTIMATE","Weight estimated. ","")&amp;"")</f>
        <v/>
      </c>
    </row>
  </sheetData>
  <mergeCells count="3">
    <mergeCell ref="G13:I13"/>
    <mergeCell ref="M13:O13"/>
    <mergeCell ref="J13:L13"/>
  </mergeCells>
  <conditionalFormatting sqref="B14:B240">
    <cfRule type="expression" priority="1" dxfId="0">
      <formula>$B14="NOT ASSIGNED"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30" customWidth="1" min="4" max="4"/>
    <col width="36" customWidth="1" min="5" max="5"/>
    <col width="26" customWidth="1" min="6" max="6"/>
    <col width="30" customWidth="1" min="7" max="7"/>
    <col width="50" customWidth="1" min="8" max="8"/>
    <col width="40" customWidth="1" min="9" max="9"/>
    <col width="13" customWidth="1" min="10" max="10"/>
    <col width="60" customWidth="1" min="11" max="11"/>
  </cols>
  <sheetData>
    <row r="1">
      <c r="A1" s="33" t="inlineStr">
        <is>
          <t>Category</t>
        </is>
      </c>
      <c r="B1" s="33" t="inlineStr">
        <is>
          <t>AKBO Part Number</t>
        </is>
      </c>
      <c r="C1" s="33" t="inlineStr">
        <is>
          <t>Our Code</t>
        </is>
      </c>
      <c r="D1" s="33" t="inlineStr">
        <is>
          <t>Product Type</t>
        </is>
      </c>
      <c r="E1" s="33" t="inlineStr">
        <is>
          <t>Size / Dimensions / Connection</t>
        </is>
      </c>
      <c r="F1" s="33" t="inlineStr">
        <is>
          <t>Material</t>
        </is>
      </c>
      <c r="G1" s="33" t="inlineStr">
        <is>
          <t>Variant</t>
        </is>
      </c>
      <c r="H1" s="33" t="inlineStr">
        <is>
          <t>Description</t>
        </is>
      </c>
      <c r="I1" s="33" t="inlineStr">
        <is>
          <t>Source Page</t>
        </is>
      </c>
      <c r="J1" s="33" t="inlineStr">
        <is>
          <t>Status</t>
        </is>
      </c>
      <c r="K1" s="33" t="inlineStr">
        <is>
          <t>Notes</t>
        </is>
      </c>
    </row>
    <row r="2">
      <c r="A2" s="4" t="inlineStr">
        <is>
          <t>Washdown / cleaning equipment</t>
        </is>
      </c>
      <c r="B2" s="4" t="inlineStr">
        <is>
          <t>AKMN011-B</t>
        </is>
      </c>
      <c r="C2" s="4" t="inlineStr">
        <is>
          <t>WD-MN011-B</t>
        </is>
      </c>
      <c r="D2" s="4" t="inlineStr">
        <is>
          <t>Wash gun</t>
        </is>
      </c>
      <c r="E2" s="4" t="inlineStr">
        <is>
          <t>Blue King, 1/2" BSP female inlet</t>
        </is>
      </c>
      <c r="F2" s="4" t="inlineStr">
        <is>
          <t>Brass HPb59-3</t>
        </is>
      </c>
      <c r="G2" s="4" t="n"/>
      <c r="H2" s="4" t="inlineStr">
        <is>
          <t>Wash gun, Blue King, 1/2" BSP female inlet, Brass HPb59-3</t>
        </is>
      </c>
      <c r="I2" s="4" t="inlineStr">
        <is>
          <t>07 - Blue King.pdf</t>
        </is>
      </c>
      <c r="J2" s="4" t="inlineStr">
        <is>
          <t>Confirmed</t>
        </is>
      </c>
      <c r="K2" s="4" t="n"/>
    </row>
    <row r="3">
      <c r="A3" s="4" t="inlineStr">
        <is>
          <t>Washdown / cleaning equipment</t>
        </is>
      </c>
      <c r="B3" s="4" t="inlineStr">
        <is>
          <t>AKMNP11-B</t>
        </is>
      </c>
      <c r="C3" s="4" t="inlineStr">
        <is>
          <t>WD-MNP11-B</t>
        </is>
      </c>
      <c r="D3" s="4" t="inlineStr">
        <is>
          <t>Wash gun</t>
        </is>
      </c>
      <c r="E3" s="4" t="inlineStr">
        <is>
          <t>Blue King, 1/2" BSP female inlet</t>
        </is>
      </c>
      <c r="F3" s="4" t="inlineStr">
        <is>
          <t>Brass HPb59-3</t>
        </is>
      </c>
      <c r="G3" s="4" t="inlineStr">
        <is>
          <t>with trigger guard</t>
        </is>
      </c>
      <c r="H3" s="4" t="inlineStr">
        <is>
          <t>Wash gun, Blue King, 1/2" BSP female inlet, Brass HPb59-3, with trigger guard</t>
        </is>
      </c>
      <c r="I3" s="4" t="inlineStr">
        <is>
          <t>07 - Blue King.pdf</t>
        </is>
      </c>
      <c r="J3" s="4" t="inlineStr">
        <is>
          <t>Confirmed</t>
        </is>
      </c>
      <c r="K3" s="4" t="n"/>
    </row>
    <row r="4">
      <c r="A4" s="4" t="inlineStr">
        <is>
          <t>Washdown / cleaning equipment</t>
        </is>
      </c>
      <c r="B4" s="4" t="inlineStr">
        <is>
          <t>AKMNP11-B-SW12</t>
        </is>
      </c>
      <c r="C4" s="4" t="inlineStr">
        <is>
          <t>WD-MNP11-B-SW12</t>
        </is>
      </c>
      <c r="D4" s="4" t="inlineStr">
        <is>
          <t>Wash gun</t>
        </is>
      </c>
      <c r="E4" s="4" t="inlineStr">
        <is>
          <t>Blue King, 1/2" BSP female inlet, with swivel</t>
        </is>
      </c>
      <c r="F4" s="4" t="inlineStr">
        <is>
          <t>Brass HPb59-3</t>
        </is>
      </c>
      <c r="G4" s="4" t="inlineStr">
        <is>
          <t>with trigger guard and swivel</t>
        </is>
      </c>
      <c r="H4" s="4" t="inlineStr">
        <is>
          <t>Wash gun, Blue King, 1/2" BSP female inlet, with swivel, Brass HPb59-3, with trigger guard and swivel</t>
        </is>
      </c>
      <c r="I4" s="4" t="inlineStr">
        <is>
          <t>07 - Blue King.pdf</t>
        </is>
      </c>
      <c r="J4" s="4" t="inlineStr">
        <is>
          <t>Confirmed</t>
        </is>
      </c>
      <c r="K4" s="4" t="n"/>
    </row>
    <row r="5">
      <c r="A5" s="4" t="inlineStr">
        <is>
          <t>Washdown / cleaning equipment</t>
        </is>
      </c>
      <c r="B5" s="4" t="inlineStr">
        <is>
          <t>AKRSV01-B</t>
        </is>
      </c>
      <c r="C5" s="4" t="inlineStr">
        <is>
          <t>WD-RSV01-B</t>
        </is>
      </c>
      <c r="D5" s="4" t="inlineStr">
        <is>
          <t>The Squeezer</t>
        </is>
      </c>
      <c r="E5" s="4" t="inlineStr">
        <is>
          <t>1/2" BSP female (inlet and outlet)</t>
        </is>
      </c>
      <c r="F5" s="4" t="inlineStr">
        <is>
          <t>Stainless steel AISI 304</t>
        </is>
      </c>
      <c r="G5" s="4" t="inlineStr">
        <is>
          <t>blue, max 40 bar / 95C</t>
        </is>
      </c>
      <c r="H5" s="4" t="inlineStr">
        <is>
          <t>The Squeezer, 1/2" BSP female (inlet and outlet), Stainless steel AISI 304, blue, max 40 bar / 95C</t>
        </is>
      </c>
      <c r="I5" s="4" t="inlineStr">
        <is>
          <t>03 - The Squeezer.pdf</t>
        </is>
      </c>
      <c r="J5" s="4" t="inlineStr">
        <is>
          <t>Confirmed</t>
        </is>
      </c>
      <c r="K5" s="4" t="n"/>
    </row>
    <row r="6">
      <c r="A6" s="4" t="inlineStr">
        <is>
          <t>Washdown / cleaning equipment</t>
        </is>
      </c>
      <c r="B6" s="4" t="inlineStr">
        <is>
          <t>BMFT001-B</t>
        </is>
      </c>
      <c r="C6" s="4" t="inlineStr">
        <is>
          <t>WD-BMFT001-B</t>
        </is>
      </c>
      <c r="D6" s="4" t="inlineStr">
        <is>
          <t>Blue Princess</t>
        </is>
      </c>
      <c r="E6" s="4" t="inlineStr">
        <is>
          <t>1/2" BSP female</t>
        </is>
      </c>
      <c r="F6" s="4" t="inlineStr">
        <is>
          <t>Brass HPb59-3</t>
        </is>
      </c>
      <c r="G6" s="4" t="inlineStr">
        <is>
          <t>basic model, without trigger guard</t>
        </is>
      </c>
      <c r="H6" s="4" t="inlineStr">
        <is>
          <t>Blue Princess, 1/2" BSP female, Brass HPb59-3, basic model, without trigger guard</t>
        </is>
      </c>
      <c r="I6" s="4" t="inlineStr">
        <is>
          <t>08 - Blue Princess.pdf</t>
        </is>
      </c>
      <c r="J6" s="4" t="inlineStr">
        <is>
          <t>Confirmed</t>
        </is>
      </c>
      <c r="K6" s="4" t="inlineStr">
        <is>
          <t>Identical spec also duplicated on page 05 (Recently Introduced) - not double counted</t>
        </is>
      </c>
    </row>
    <row r="7">
      <c r="A7" s="4" t="inlineStr">
        <is>
          <t>Washdown / cleaning equipment</t>
        </is>
      </c>
      <c r="B7" s="4" t="inlineStr">
        <is>
          <t>BMFTP11-B-PRIN</t>
        </is>
      </c>
      <c r="C7" s="4" t="inlineStr">
        <is>
          <t>WD-BMFTP11-B-PRIN</t>
        </is>
      </c>
      <c r="D7" s="4" t="inlineStr">
        <is>
          <t>Blue Princess</t>
        </is>
      </c>
      <c r="E7" s="4" t="inlineStr">
        <is>
          <t>1/2" BSP female</t>
        </is>
      </c>
      <c r="F7" s="4" t="inlineStr">
        <is>
          <t>Brass HPb59-3</t>
        </is>
      </c>
      <c r="G7" s="4" t="inlineStr">
        <is>
          <t>with trigger guard</t>
        </is>
      </c>
      <c r="H7" s="4" t="inlineStr">
        <is>
          <t>Blue Princess, 1/2" BSP female, Brass HPb59-3, with trigger guard</t>
        </is>
      </c>
      <c r="I7" s="4" t="inlineStr">
        <is>
          <t>08 - Blue Princess.pdf</t>
        </is>
      </c>
      <c r="J7" s="4" t="inlineStr">
        <is>
          <t>Confirmed</t>
        </is>
      </c>
      <c r="K7" s="4" t="inlineStr">
        <is>
          <t>Identical spec also duplicated on page 05</t>
        </is>
      </c>
    </row>
    <row r="8">
      <c r="A8" s="4" t="inlineStr">
        <is>
          <t>Washdown / cleaning equipment</t>
        </is>
      </c>
      <c r="B8" s="4" t="inlineStr">
        <is>
          <t>BRFT003-B</t>
        </is>
      </c>
      <c r="C8" s="4" t="inlineStr">
        <is>
          <t>WD-BRFT003-B</t>
        </is>
      </c>
      <c r="D8" s="4" t="inlineStr">
        <is>
          <t>Blue Princess</t>
        </is>
      </c>
      <c r="E8" s="4" t="inlineStr">
        <is>
          <t>1/2" BSP female</t>
        </is>
      </c>
      <c r="F8" s="4" t="inlineStr">
        <is>
          <t>316 stainless steel (AISI 316)</t>
        </is>
      </c>
      <c r="G8" s="4" t="inlineStr">
        <is>
          <t>basic model, without trigger guard</t>
        </is>
      </c>
      <c r="H8" s="4" t="inlineStr">
        <is>
          <t>Blue Princess, 1/2" BSP female, 316 stainless steel (AISI 316), basic model, without trigger guard</t>
        </is>
      </c>
      <c r="I8" s="4" t="inlineStr">
        <is>
          <t>08 - Blue Princess.pdf</t>
        </is>
      </c>
      <c r="J8" s="4" t="inlineStr">
        <is>
          <t>Confirmed</t>
        </is>
      </c>
      <c r="K8" s="4" t="inlineStr">
        <is>
          <t>Identical spec also duplicated on page 05</t>
        </is>
      </c>
    </row>
    <row r="9">
      <c r="A9" s="4" t="inlineStr">
        <is>
          <t>Washdown / cleaning equipment</t>
        </is>
      </c>
      <c r="B9" s="4" t="inlineStr">
        <is>
          <t>BRFTP13-B-PRIN</t>
        </is>
      </c>
      <c r="C9" s="4" t="inlineStr">
        <is>
          <t>WD-BRFTP13-B-PRIN</t>
        </is>
      </c>
      <c r="D9" s="4" t="inlineStr">
        <is>
          <t>Blue Princess</t>
        </is>
      </c>
      <c r="E9" s="4" t="inlineStr">
        <is>
          <t>1/2" BSP female</t>
        </is>
      </c>
      <c r="F9" s="4" t="inlineStr">
        <is>
          <t>316 stainless steel (AISI 316)</t>
        </is>
      </c>
      <c r="G9" s="4" t="inlineStr">
        <is>
          <t>with trigger guard - marked NEW in catalogue</t>
        </is>
      </c>
      <c r="H9" s="4" t="inlineStr">
        <is>
          <t>Blue Princess, 1/2" BSP female, 316 stainless steel (AISI 316), with trigger guard - marked NEW in catalogue</t>
        </is>
      </c>
      <c r="I9" s="4" t="inlineStr">
        <is>
          <t>08 - Blue Princess.pdf</t>
        </is>
      </c>
      <c r="J9" s="4" t="inlineStr">
        <is>
          <t>Confirmed</t>
        </is>
      </c>
      <c r="K9" s="4" t="inlineStr">
        <is>
          <t>Identical spec also duplicated on page 05</t>
        </is>
      </c>
    </row>
    <row r="10">
      <c r="A10" s="4" t="inlineStr">
        <is>
          <t>Washdown / cleaning equipment</t>
        </is>
      </c>
      <c r="B10" s="4" t="inlineStr">
        <is>
          <t>KLMN001-BL</t>
        </is>
      </c>
      <c r="C10" s="4" t="inlineStr">
        <is>
          <t>WD-KLMN001-BL</t>
        </is>
      </c>
      <c r="D10" s="4" t="inlineStr">
        <is>
          <t>Basic brass cleaning gun</t>
        </is>
      </c>
      <c r="E10" s="4" t="inlineStr">
        <is>
          <t>1/2" BSP female</t>
        </is>
      </c>
      <c r="F10" s="4" t="inlineStr">
        <is>
          <t>Brass</t>
        </is>
      </c>
      <c r="G10" s="4" t="inlineStr">
        <is>
          <t>black</t>
        </is>
      </c>
      <c r="H10" s="4" t="inlineStr">
        <is>
          <t>Basic brass cleaning gun, 1/2" BSP female, Brass, black</t>
        </is>
      </c>
      <c r="I10" s="4" t="inlineStr">
        <is>
          <t>09 - Basic brass cleaning gun.pdf</t>
        </is>
      </c>
      <c r="J10" s="4" t="inlineStr">
        <is>
          <t>Confirmed</t>
        </is>
      </c>
      <c r="K10" s="4" t="n"/>
    </row>
    <row r="11">
      <c r="A11" s="4" t="inlineStr">
        <is>
          <t>Washdown / cleaning equipment</t>
        </is>
      </c>
      <c r="B11" s="4" t="inlineStr">
        <is>
          <t>KLMN001-W</t>
        </is>
      </c>
      <c r="C11" s="4" t="inlineStr">
        <is>
          <t>WD-KLMN001-W</t>
        </is>
      </c>
      <c r="D11" s="4" t="inlineStr">
        <is>
          <t>Basic brass cleaning gun</t>
        </is>
      </c>
      <c r="E11" s="4" t="inlineStr">
        <is>
          <t>1/2" BSP female</t>
        </is>
      </c>
      <c r="F11" s="4" t="inlineStr">
        <is>
          <t>Brass</t>
        </is>
      </c>
      <c r="G11" s="4" t="inlineStr">
        <is>
          <t>white</t>
        </is>
      </c>
      <c r="H11" s="4" t="inlineStr">
        <is>
          <t>Basic brass cleaning gun, 1/2" BSP female, Brass, white</t>
        </is>
      </c>
      <c r="I11" s="4" t="inlineStr">
        <is>
          <t>09 - Basic brass cleaning gun.pdf</t>
        </is>
      </c>
      <c r="J11" s="4" t="inlineStr">
        <is>
          <t>Confirmed</t>
        </is>
      </c>
      <c r="K11" s="4" t="n"/>
    </row>
    <row r="12">
      <c r="A12" s="4" t="inlineStr">
        <is>
          <t>Washdown / cleaning equipment</t>
        </is>
      </c>
      <c r="B12" s="4" t="inlineStr">
        <is>
          <t>KLMN001-B</t>
        </is>
      </c>
      <c r="C12" s="4" t="inlineStr">
        <is>
          <t>WD-KLMN001-B</t>
        </is>
      </c>
      <c r="D12" s="4" t="inlineStr">
        <is>
          <t>Basic brass cleaning gun</t>
        </is>
      </c>
      <c r="E12" s="4" t="inlineStr">
        <is>
          <t>1/2" BSP female</t>
        </is>
      </c>
      <c r="F12" s="4" t="inlineStr">
        <is>
          <t>Brass</t>
        </is>
      </c>
      <c r="G12" s="4" t="inlineStr">
        <is>
          <t>blue</t>
        </is>
      </c>
      <c r="H12" s="4" t="inlineStr">
        <is>
          <t>Basic brass cleaning gun, 1/2" BSP female, Brass, blue</t>
        </is>
      </c>
      <c r="I12" s="4" t="inlineStr">
        <is>
          <t>09 - Basic brass cleaning gun.pdf</t>
        </is>
      </c>
      <c r="J12" s="4" t="inlineStr">
        <is>
          <t>Confirmed</t>
        </is>
      </c>
      <c r="K12" s="4" t="n"/>
    </row>
    <row r="13">
      <c r="A13" s="4" t="inlineStr">
        <is>
          <t>Washdown / cleaning equipment</t>
        </is>
      </c>
      <c r="B13" s="4" t="inlineStr">
        <is>
          <t>KLMN001-G</t>
        </is>
      </c>
      <c r="C13" s="4" t="inlineStr">
        <is>
          <t>WD-KLMN001-G</t>
        </is>
      </c>
      <c r="D13" s="4" t="inlineStr">
        <is>
          <t>Basic brass cleaning gun</t>
        </is>
      </c>
      <c r="E13" s="4" t="inlineStr">
        <is>
          <t>1/2" BSP female</t>
        </is>
      </c>
      <c r="F13" s="4" t="inlineStr">
        <is>
          <t>Brass</t>
        </is>
      </c>
      <c r="G13" s="4" t="inlineStr">
        <is>
          <t>green</t>
        </is>
      </c>
      <c r="H13" s="4" t="inlineStr">
        <is>
          <t>Basic brass cleaning gun, 1/2" BSP female, Brass, green</t>
        </is>
      </c>
      <c r="I13" s="4" t="inlineStr">
        <is>
          <t>09 - Basic brass cleaning gun.pdf</t>
        </is>
      </c>
      <c r="J13" s="4" t="inlineStr">
        <is>
          <t>Confirmed</t>
        </is>
      </c>
      <c r="K13" s="4" t="n"/>
    </row>
    <row r="14">
      <c r="A14" s="4" t="inlineStr">
        <is>
          <t>Washdown / cleaning equipment</t>
        </is>
      </c>
      <c r="B14" s="4" t="inlineStr">
        <is>
          <t>KLMN001-R</t>
        </is>
      </c>
      <c r="C14" s="4" t="inlineStr">
        <is>
          <t>WD-KLMN001-R</t>
        </is>
      </c>
      <c r="D14" s="4" t="inlineStr">
        <is>
          <t>Basic brass cleaning gun</t>
        </is>
      </c>
      <c r="E14" s="4" t="inlineStr">
        <is>
          <t>1/2" BSP female</t>
        </is>
      </c>
      <c r="F14" s="4" t="inlineStr">
        <is>
          <t>Brass</t>
        </is>
      </c>
      <c r="G14" s="4" t="inlineStr">
        <is>
          <t>red</t>
        </is>
      </c>
      <c r="H14" s="4" t="inlineStr">
        <is>
          <t>Basic brass cleaning gun, 1/2" BSP female, Brass, red</t>
        </is>
      </c>
      <c r="I14" s="4" t="inlineStr">
        <is>
          <t>09 - Basic brass cleaning gun.pdf</t>
        </is>
      </c>
      <c r="J14" s="4" t="inlineStr">
        <is>
          <t>Confirmed</t>
        </is>
      </c>
      <c r="K14" s="4" t="n"/>
    </row>
    <row r="15">
      <c r="A15" s="4" t="inlineStr">
        <is>
          <t>Washdown / cleaning equipment</t>
        </is>
      </c>
      <c r="B15" s="4" t="inlineStr">
        <is>
          <t>KLMN001-Y</t>
        </is>
      </c>
      <c r="C15" s="4" t="inlineStr">
        <is>
          <t>WD-KLMN001-Y</t>
        </is>
      </c>
      <c r="D15" s="4" t="inlineStr">
        <is>
          <t>Basic brass cleaning gun</t>
        </is>
      </c>
      <c r="E15" s="4" t="inlineStr">
        <is>
          <t>1/2" BSP female</t>
        </is>
      </c>
      <c r="F15" s="4" t="inlineStr">
        <is>
          <t>Brass</t>
        </is>
      </c>
      <c r="G15" s="4" t="inlineStr">
        <is>
          <t>yellow</t>
        </is>
      </c>
      <c r="H15" s="4" t="inlineStr">
        <is>
          <t>Basic brass cleaning gun, 1/2" BSP female, Brass, yellow</t>
        </is>
      </c>
      <c r="I15" s="4" t="inlineStr">
        <is>
          <t>09 - Basic brass cleaning gun.pdf</t>
        </is>
      </c>
      <c r="J15" s="4" t="inlineStr">
        <is>
          <t>Confirmed</t>
        </is>
      </c>
      <c r="K15" s="4" t="n"/>
    </row>
    <row r="16">
      <c r="A16" s="4" t="inlineStr">
        <is>
          <t>Washdown / cleaning equipment</t>
        </is>
      </c>
      <c r="B16" s="4" t="inlineStr">
        <is>
          <t>AKMN001-B</t>
        </is>
      </c>
      <c r="C16" s="4" t="inlineStr">
        <is>
          <t>WD-MN001-B</t>
        </is>
      </c>
      <c r="D16" s="4" t="inlineStr">
        <is>
          <t>Brass cleaning gun (insulated trigger)</t>
        </is>
      </c>
      <c r="E16" s="4" t="inlineStr">
        <is>
          <t>1/2" BSP female</t>
        </is>
      </c>
      <c r="F16" s="4" t="inlineStr">
        <is>
          <t>Brass HPb59-3</t>
        </is>
      </c>
      <c r="G16" s="4" t="inlineStr">
        <is>
          <t>blue (best-seller)</t>
        </is>
      </c>
      <c r="H16" s="4" t="inlineStr">
        <is>
          <t>Brass cleaning gun (insulated trigger), 1/2" BSP female, Brass HPb59-3, blue (best-seller)</t>
        </is>
      </c>
      <c r="I16" s="4" t="inlineStr">
        <is>
          <t>10 - Brass cleaning guns with insulated trigger.pdf</t>
        </is>
      </c>
      <c r="J16" s="4" t="inlineStr">
        <is>
          <t>Confirmed</t>
        </is>
      </c>
      <c r="K16" s="4" t="n"/>
    </row>
    <row r="17">
      <c r="A17" s="4" t="inlineStr">
        <is>
          <t>Washdown / cleaning equipment</t>
        </is>
      </c>
      <c r="B17" s="4" t="inlineStr">
        <is>
          <t>AKMN001-R</t>
        </is>
      </c>
      <c r="C17" s="4" t="inlineStr">
        <is>
          <t>WD-MN001-R</t>
        </is>
      </c>
      <c r="D17" s="4" t="inlineStr">
        <is>
          <t>Brass cleaning gun (insulated trigger)</t>
        </is>
      </c>
      <c r="E17" s="4" t="inlineStr">
        <is>
          <t>1/2" BSP female</t>
        </is>
      </c>
      <c r="F17" s="4" t="inlineStr">
        <is>
          <t>Brass HPb59-3</t>
        </is>
      </c>
      <c r="G17" s="4" t="inlineStr">
        <is>
          <t>red</t>
        </is>
      </c>
      <c r="H17" s="4" t="inlineStr">
        <is>
          <t>Brass cleaning gun (insulated trigger), 1/2" BSP female, Brass HPb59-3, red</t>
        </is>
      </c>
      <c r="I17" s="4" t="inlineStr">
        <is>
          <t>10 - Brass cleaning guns with insulated trigger.pdf</t>
        </is>
      </c>
      <c r="J17" s="4" t="inlineStr">
        <is>
          <t>Confirmed</t>
        </is>
      </c>
      <c r="K17" s="4" t="n"/>
    </row>
    <row r="18">
      <c r="A18" s="4" t="inlineStr">
        <is>
          <t>Washdown / cleaning equipment</t>
        </is>
      </c>
      <c r="B18" s="4" t="inlineStr">
        <is>
          <t>AKMN001-Y</t>
        </is>
      </c>
      <c r="C18" s="4" t="inlineStr">
        <is>
          <t>WD-MN001-Y</t>
        </is>
      </c>
      <c r="D18" s="4" t="inlineStr">
        <is>
          <t>Brass cleaning gun (insulated trigger)</t>
        </is>
      </c>
      <c r="E18" s="4" t="inlineStr">
        <is>
          <t>1/2" BSP female</t>
        </is>
      </c>
      <c r="F18" s="4" t="inlineStr">
        <is>
          <t>Brass HPb59-3</t>
        </is>
      </c>
      <c r="G18" s="4" t="inlineStr">
        <is>
          <t>yellow</t>
        </is>
      </c>
      <c r="H18" s="4" t="inlineStr">
        <is>
          <t>Brass cleaning gun (insulated trigger), 1/2" BSP female, Brass HPb59-3, yellow</t>
        </is>
      </c>
      <c r="I18" s="4" t="inlineStr">
        <is>
          <t>10 - Brass cleaning guns with insulated trigger.pdf</t>
        </is>
      </c>
      <c r="J18" s="4" t="inlineStr">
        <is>
          <t>Confirmed</t>
        </is>
      </c>
      <c r="K18" s="4" t="n"/>
    </row>
    <row r="19">
      <c r="A19" s="4" t="inlineStr">
        <is>
          <t>Washdown / cleaning equipment</t>
        </is>
      </c>
      <c r="B19" s="4" t="inlineStr">
        <is>
          <t>AKMN001-G</t>
        </is>
      </c>
      <c r="C19" s="4" t="inlineStr">
        <is>
          <t>WD-MN001-G</t>
        </is>
      </c>
      <c r="D19" s="4" t="inlineStr">
        <is>
          <t>Brass cleaning gun (insulated trigger)</t>
        </is>
      </c>
      <c r="E19" s="4" t="inlineStr">
        <is>
          <t>1/2" BSP female</t>
        </is>
      </c>
      <c r="F19" s="4" t="inlineStr">
        <is>
          <t>Brass HPb59-3</t>
        </is>
      </c>
      <c r="G19" s="4" t="inlineStr">
        <is>
          <t>green</t>
        </is>
      </c>
      <c r="H19" s="4" t="inlineStr">
        <is>
          <t>Brass cleaning gun (insulated trigger), 1/2" BSP female, Brass HPb59-3, green</t>
        </is>
      </c>
      <c r="I19" s="4" t="inlineStr">
        <is>
          <t>10 - Brass cleaning guns with insulated trigger.pdf</t>
        </is>
      </c>
      <c r="J19" s="4" t="inlineStr">
        <is>
          <t>Confirmed</t>
        </is>
      </c>
      <c r="K19" s="4" t="n"/>
    </row>
    <row r="20">
      <c r="A20" s="4" t="inlineStr">
        <is>
          <t>Washdown / cleaning equipment</t>
        </is>
      </c>
      <c r="B20" s="4" t="inlineStr">
        <is>
          <t>AKMN001-W</t>
        </is>
      </c>
      <c r="C20" s="4" t="inlineStr">
        <is>
          <t>WD-MN001-W</t>
        </is>
      </c>
      <c r="D20" s="4" t="inlineStr">
        <is>
          <t>Brass cleaning gun (insulated trigger)</t>
        </is>
      </c>
      <c r="E20" s="4" t="inlineStr">
        <is>
          <t>1/2" BSP female</t>
        </is>
      </c>
      <c r="F20" s="4" t="inlineStr">
        <is>
          <t>Brass HPb59-3</t>
        </is>
      </c>
      <c r="G20" s="4" t="inlineStr">
        <is>
          <t>white</t>
        </is>
      </c>
      <c r="H20" s="4" t="inlineStr">
        <is>
          <t>Brass cleaning gun (insulated trigger), 1/2" BSP female, Brass HPb59-3, white</t>
        </is>
      </c>
      <c r="I20" s="4" t="inlineStr">
        <is>
          <t>10 - Brass cleaning guns with insulated trigger.pdf</t>
        </is>
      </c>
      <c r="J20" s="4" t="inlineStr">
        <is>
          <t>Confirmed</t>
        </is>
      </c>
      <c r="K20" s="4" t="n"/>
    </row>
    <row r="21">
      <c r="A21" s="4" t="inlineStr">
        <is>
          <t>Washdown / cleaning equipment</t>
        </is>
      </c>
      <c r="B21" s="4" t="inlineStr">
        <is>
          <t>AKMN001-BL</t>
        </is>
      </c>
      <c r="C21" s="4" t="inlineStr">
        <is>
          <t>WD-MN001-BL</t>
        </is>
      </c>
      <c r="D21" s="4" t="inlineStr">
        <is>
          <t>Brass cleaning gun (insulated trigger)</t>
        </is>
      </c>
      <c r="E21" s="4" t="inlineStr">
        <is>
          <t>1/2" BSP female</t>
        </is>
      </c>
      <c r="F21" s="4" t="inlineStr">
        <is>
          <t>Brass HPb59-3</t>
        </is>
      </c>
      <c r="G21" s="4" t="inlineStr">
        <is>
          <t>black</t>
        </is>
      </c>
      <c r="H21" s="4" t="inlineStr">
        <is>
          <t>Brass cleaning gun (insulated trigger), 1/2" BSP female, Brass HPb59-3, black</t>
        </is>
      </c>
      <c r="I21" s="4" t="inlineStr">
        <is>
          <t>10 - Brass cleaning guns with insulated trigger.pdf</t>
        </is>
      </c>
      <c r="J21" s="4" t="inlineStr">
        <is>
          <t>Confirmed</t>
        </is>
      </c>
      <c r="K21" s="4" t="n"/>
    </row>
    <row r="22">
      <c r="A22" s="4" t="inlineStr">
        <is>
          <t>Washdown / cleaning equipment</t>
        </is>
      </c>
      <c r="B22" s="4" t="inlineStr">
        <is>
          <t>AKMNP01-B</t>
        </is>
      </c>
      <c r="C22" s="4" t="inlineStr">
        <is>
          <t>WD-MNP01-B</t>
        </is>
      </c>
      <c r="D22" s="4" t="inlineStr">
        <is>
          <t>Brass cleaning gun (insulated trigger)</t>
        </is>
      </c>
      <c r="E22" s="4" t="inlineStr">
        <is>
          <t>1/2" BSP female</t>
        </is>
      </c>
      <c r="F22" s="4" t="inlineStr">
        <is>
          <t>Brass HPb59-3</t>
        </is>
      </c>
      <c r="G22" s="4" t="inlineStr">
        <is>
          <t>blue, with trigger guard</t>
        </is>
      </c>
      <c r="H22" s="4" t="inlineStr">
        <is>
          <t>Brass cleaning gun (insulated trigger), 1/2" BSP female, Brass HPb59-3, blue, with trigger guard</t>
        </is>
      </c>
      <c r="I22" s="4" t="inlineStr">
        <is>
          <t>10 - Brass cleaning guns with insulated trigger.pdf</t>
        </is>
      </c>
      <c r="J22" s="4" t="inlineStr">
        <is>
          <t>Confirmed</t>
        </is>
      </c>
      <c r="K22" s="4" t="n"/>
    </row>
    <row r="23">
      <c r="A23" s="34" t="inlineStr">
        <is>
          <t>Washdown / cleaning equipment</t>
        </is>
      </c>
      <c r="B23" s="34" t="inlineStr">
        <is>
          <t>AKMNP01-B-SW12</t>
        </is>
      </c>
      <c r="C23" s="34" t="inlineStr">
        <is>
          <t>WD-MNP01-B-SW12</t>
        </is>
      </c>
      <c r="D23" s="34" t="inlineStr">
        <is>
          <t>Brass cleaning gun (insulated trigger)</t>
        </is>
      </c>
      <c r="E23" s="34" t="inlineStr">
        <is>
          <t>with ball bearing swivel, 1/2" BSP female</t>
        </is>
      </c>
      <c r="F23" s="34" t="inlineStr">
        <is>
          <t>Brass HPb59-3</t>
        </is>
      </c>
      <c r="G23" s="34" t="inlineStr">
        <is>
          <t>with trigger guard and swivel</t>
        </is>
      </c>
      <c r="H23" s="34" t="inlineStr">
        <is>
          <t>Brass cleaning gun (insulated trigger), with ball bearing swivel, 1/2" BSP female, Brass HPb59-3, with trigger guard and swivel</t>
        </is>
      </c>
      <c r="I23" s="34" t="inlineStr">
        <is>
          <t>10 - Brass cleaning guns with insulated trigger.pdf</t>
        </is>
      </c>
      <c r="J23" s="34" t="inlineStr">
        <is>
          <t>Needs review</t>
        </is>
      </c>
      <c r="K23" s="34" t="inlineStr">
        <is>
          <t>Page 2 technical-data table header spells this "AKMP01-B-SW12" (missing N) - likely a table typo, confirm before use</t>
        </is>
      </c>
    </row>
    <row r="24">
      <c r="A24" s="34" t="inlineStr">
        <is>
          <t>Washdown / cleaning equipment</t>
        </is>
      </c>
      <c r="B24" s="34" t="inlineStr">
        <is>
          <t>AKMNP01-B-SW34</t>
        </is>
      </c>
      <c r="C24" s="34" t="inlineStr">
        <is>
          <t>WD-MNP01-B-SW34</t>
        </is>
      </c>
      <c r="D24" s="34" t="inlineStr">
        <is>
          <t>Brass cleaning gun (insulated trigger)</t>
        </is>
      </c>
      <c r="E24" s="34" t="inlineStr">
        <is>
          <t>with ball bearing swivel, 3/4" BSP female</t>
        </is>
      </c>
      <c r="F24" s="34" t="inlineStr">
        <is>
          <t>Brass HPb59-3</t>
        </is>
      </c>
      <c r="G24" s="34" t="inlineStr">
        <is>
          <t>with trigger guard and swivel</t>
        </is>
      </c>
      <c r="H24" s="34" t="inlineStr">
        <is>
          <t>Brass cleaning gun (insulated trigger), with ball bearing swivel, 3/4" BSP female, Brass HPb59-3, with trigger guard and swivel</t>
        </is>
      </c>
      <c r="I24" s="34" t="inlineStr">
        <is>
          <t>10 - Brass cleaning guns with insulated trigger.pdf</t>
        </is>
      </c>
      <c r="J24" s="34" t="inlineStr">
        <is>
          <t>Needs review</t>
        </is>
      </c>
      <c r="K24" s="34" t="inlineStr">
        <is>
          <t>Page 2 technical-data table header spells this "AKMP01-B-SW34" (missing N) - likely a table typo, confirm before use</t>
        </is>
      </c>
    </row>
    <row r="25">
      <c r="A25" s="4" t="inlineStr">
        <is>
          <t>Washdown / cleaning equipment</t>
        </is>
      </c>
      <c r="B25" s="4" t="inlineStr">
        <is>
          <t>AKCN001-B</t>
        </is>
      </c>
      <c r="C25" s="4" t="inlineStr">
        <is>
          <t>WD-CN001-B</t>
        </is>
      </c>
      <c r="D25" s="4" t="inlineStr">
        <is>
          <t>Chrome-plated brass cleaning gun</t>
        </is>
      </c>
      <c r="E25" s="4" t="inlineStr">
        <is>
          <t>1/2" BSP female</t>
        </is>
      </c>
      <c r="F25" s="4" t="inlineStr">
        <is>
          <t>Brass HPb59-3 + chrome layer</t>
        </is>
      </c>
      <c r="G25" s="4" t="inlineStr">
        <is>
          <t>blue</t>
        </is>
      </c>
      <c r="H25" s="4" t="inlineStr">
        <is>
          <t>Chrome-plated brass cleaning gun, 1/2" BSP female, Brass HPb59-3 + chrome layer, blue</t>
        </is>
      </c>
      <c r="I25" s="4" t="inlineStr">
        <is>
          <t>11 - Chrome-plated brass cleaning guns.pdf</t>
        </is>
      </c>
      <c r="J25" s="4" t="inlineStr">
        <is>
          <t>Confirmed</t>
        </is>
      </c>
      <c r="K25" s="4" t="n"/>
    </row>
    <row r="26">
      <c r="A26" s="4" t="inlineStr">
        <is>
          <t>Washdown / cleaning equipment</t>
        </is>
      </c>
      <c r="B26" s="4" t="inlineStr">
        <is>
          <t>AKCNP01-B</t>
        </is>
      </c>
      <c r="C26" s="4" t="inlineStr">
        <is>
          <t>WD-CNP01-B</t>
        </is>
      </c>
      <c r="D26" s="4" t="inlineStr">
        <is>
          <t>Chrome-plated brass cleaning gun</t>
        </is>
      </c>
      <c r="E26" s="4" t="inlineStr">
        <is>
          <t>1/2" BSP female</t>
        </is>
      </c>
      <c r="F26" s="4" t="inlineStr">
        <is>
          <t>Brass HPb59-3 + chrome layer</t>
        </is>
      </c>
      <c r="G26" s="4" t="inlineStr">
        <is>
          <t>blue, with trigger guard</t>
        </is>
      </c>
      <c r="H26" s="4" t="inlineStr">
        <is>
          <t>Chrome-plated brass cleaning gun, 1/2" BSP female, Brass HPb59-3 + chrome layer, blue, with trigger guard</t>
        </is>
      </c>
      <c r="I26" s="4" t="inlineStr">
        <is>
          <t>11 - Chrome-plated brass cleaning guns.pdf</t>
        </is>
      </c>
      <c r="J26" s="4" t="inlineStr">
        <is>
          <t>Confirmed</t>
        </is>
      </c>
      <c r="K26" s="4" t="n"/>
    </row>
    <row r="27">
      <c r="A27" s="4" t="inlineStr">
        <is>
          <t>Washdown / cleaning equipment</t>
        </is>
      </c>
      <c r="B27" s="4" t="inlineStr">
        <is>
          <t>AKCNP01-W</t>
        </is>
      </c>
      <c r="C27" s="4" t="inlineStr">
        <is>
          <t>WD-CNP01-W</t>
        </is>
      </c>
      <c r="D27" s="4" t="inlineStr">
        <is>
          <t>Chrome-plated brass cleaning gun</t>
        </is>
      </c>
      <c r="E27" s="4" t="inlineStr">
        <is>
          <t>1/2" BSP female</t>
        </is>
      </c>
      <c r="F27" s="4" t="inlineStr">
        <is>
          <t>Brass HPb59-3 + chrome layer</t>
        </is>
      </c>
      <c r="G27" s="4" t="inlineStr">
        <is>
          <t>white, with trigger guard</t>
        </is>
      </c>
      <c r="H27" s="4" t="inlineStr">
        <is>
          <t>Chrome-plated brass cleaning gun, 1/2" BSP female, Brass HPb59-3 + chrome layer, white, with trigger guard</t>
        </is>
      </c>
      <c r="I27" s="4" t="inlineStr">
        <is>
          <t>11 - Chrome-plated brass cleaning guns.pdf</t>
        </is>
      </c>
      <c r="J27" s="4" t="inlineStr">
        <is>
          <t>Confirmed</t>
        </is>
      </c>
      <c r="K27" s="4" t="n"/>
    </row>
    <row r="28">
      <c r="A28" s="4" t="inlineStr">
        <is>
          <t>Washdown / cleaning equipment</t>
        </is>
      </c>
      <c r="B28" s="4" t="inlineStr">
        <is>
          <t>AKCNP01-W-U</t>
        </is>
      </c>
      <c r="C28" s="4" t="inlineStr">
        <is>
          <t>WD-CNP01-W-U</t>
        </is>
      </c>
      <c r="D28" s="4" t="inlineStr">
        <is>
          <t>Chrome-plated brass cleaning gun</t>
        </is>
      </c>
      <c r="E28" s="4" t="inlineStr">
        <is>
          <t>1/2" NPT female</t>
        </is>
      </c>
      <c r="F28" s="4" t="inlineStr">
        <is>
          <t>Brass HPb59-3 + chrome layer</t>
        </is>
      </c>
      <c r="G28" s="4" t="inlineStr">
        <is>
          <t>white, with trigger guard</t>
        </is>
      </c>
      <c r="H28" s="4" t="inlineStr">
        <is>
          <t>Chrome-plated brass cleaning gun, 1/2" NPT female, Brass HPb59-3 + chrome layer, white, with trigger guard</t>
        </is>
      </c>
      <c r="I28" s="4" t="inlineStr">
        <is>
          <t>11 - Chrome-plated brass cleaning guns.pdf</t>
        </is>
      </c>
      <c r="J28" s="4" t="inlineStr">
        <is>
          <t>Confirmed</t>
        </is>
      </c>
      <c r="K28" s="4" t="n"/>
    </row>
    <row r="29">
      <c r="A29" s="4" t="inlineStr">
        <is>
          <t>Washdown / cleaning equipment</t>
        </is>
      </c>
      <c r="B29" s="4" t="inlineStr">
        <is>
          <t>AKCNP01-B-SW12</t>
        </is>
      </c>
      <c r="C29" s="4" t="inlineStr">
        <is>
          <t>WD-CNP01-B-SW12</t>
        </is>
      </c>
      <c r="D29" s="4" t="inlineStr">
        <is>
          <t>Chrome-plated brass cleaning gun</t>
        </is>
      </c>
      <c r="E29" s="4" t="inlineStr">
        <is>
          <t>with swivel, 1/2" BSP female</t>
        </is>
      </c>
      <c r="F29" s="4" t="inlineStr">
        <is>
          <t>Brass HPb59-3 + chrome layer</t>
        </is>
      </c>
      <c r="G29" s="4" t="inlineStr">
        <is>
          <t>blue, with swivel</t>
        </is>
      </c>
      <c r="H29" s="4" t="inlineStr">
        <is>
          <t>Chrome-plated brass cleaning gun, with swivel, 1/2" BSP female, Brass HPb59-3 + chrome layer, blue, with swivel</t>
        </is>
      </c>
      <c r="I29" s="4" t="inlineStr">
        <is>
          <t>11 - Chrome-plated brass cleaning guns.pdf</t>
        </is>
      </c>
      <c r="J29" s="4" t="inlineStr">
        <is>
          <t>Confirmed</t>
        </is>
      </c>
      <c r="K29" s="4" t="n"/>
    </row>
    <row r="30">
      <c r="A30" s="34" t="inlineStr">
        <is>
          <t>Washdown / cleaning equipment</t>
        </is>
      </c>
      <c r="B30" s="34" t="inlineStr">
        <is>
          <t>AKCNP01-W-SW12</t>
        </is>
      </c>
      <c r="C30" s="34" t="inlineStr">
        <is>
          <t>WD-CNP01-W-SW12</t>
        </is>
      </c>
      <c r="D30" s="34" t="inlineStr">
        <is>
          <t>Chrome-plated brass cleaning gun</t>
        </is>
      </c>
      <c r="E30" s="34" t="inlineStr">
        <is>
          <t>with swivel, brochure states 3/4" BSP female</t>
        </is>
      </c>
      <c r="F30" s="34" t="inlineStr">
        <is>
          <t>Brass HPb59-3 + chrome layer</t>
        </is>
      </c>
      <c r="G30" s="34" t="inlineStr">
        <is>
          <t>white, with swivel</t>
        </is>
      </c>
      <c r="H30" s="34" t="inlineStr">
        <is>
          <t>Chrome-plated brass cleaning gun, with swivel, brochure states 3/4" BSP female, Brass HPb59-3 + chrome layer, white, with swivel</t>
        </is>
      </c>
      <c r="I30" s="34" t="inlineStr">
        <is>
          <t>11 - Chrome-plated brass cleaning guns.pdf</t>
        </is>
      </c>
      <c r="J30" s="34" t="inlineStr">
        <is>
          <t>Needs review</t>
        </is>
      </c>
      <c r="K30" s="34" t="inlineStr">
        <is>
          <t>Brochure states this swivel is 3/4" BSP, but the "-SW12" suffix means 1/2" everywhere else in this catalogue family (c.f. page 10 -SW12/-SW34 pattern) - likely should be AKCNP01-W-SW34; confirm with AKBO before quoting</t>
        </is>
      </c>
    </row>
    <row r="31">
      <c r="A31" s="4" t="inlineStr">
        <is>
          <t>Washdown / cleaning equipment</t>
        </is>
      </c>
      <c r="B31" s="4" t="inlineStr">
        <is>
          <t>AKRN001-B</t>
        </is>
      </c>
      <c r="C31" s="4" t="inlineStr">
        <is>
          <t>WD-RN001-B</t>
        </is>
      </c>
      <c r="D31" s="4" t="inlineStr">
        <is>
          <t>Stainless steel cleaning gun (AISI 316)</t>
        </is>
      </c>
      <c r="E31" s="4" t="inlineStr">
        <is>
          <t>1/2" BSP female</t>
        </is>
      </c>
      <c r="F31" s="4" t="inlineStr">
        <is>
          <t>Stainless steel AISI 316</t>
        </is>
      </c>
      <c r="G31" s="4" t="inlineStr">
        <is>
          <t>blue</t>
        </is>
      </c>
      <c r="H31" s="4" t="inlineStr">
        <is>
          <t>Stainless steel cleaning gun (AISI 316), 1/2" BSP female, Stainless steel AISI 316, blue</t>
        </is>
      </c>
      <c r="I31" s="4" t="inlineStr">
        <is>
          <t>12 - Stainless steel cleaning guns (AISI 316).pdf</t>
        </is>
      </c>
      <c r="J31" s="4" t="inlineStr">
        <is>
          <t>Confirmed</t>
        </is>
      </c>
      <c r="K31" s="4" t="n"/>
    </row>
    <row r="32">
      <c r="A32" s="4" t="inlineStr">
        <is>
          <t>Washdown / cleaning equipment</t>
        </is>
      </c>
      <c r="B32" s="4" t="inlineStr">
        <is>
          <t>AKRN001-W</t>
        </is>
      </c>
      <c r="C32" s="4" t="inlineStr">
        <is>
          <t>WD-RN001-W</t>
        </is>
      </c>
      <c r="D32" s="4" t="inlineStr">
        <is>
          <t>Stainless steel cleaning gun (AISI 316)</t>
        </is>
      </c>
      <c r="E32" s="4" t="inlineStr">
        <is>
          <t>1/2" BSP female</t>
        </is>
      </c>
      <c r="F32" s="4" t="inlineStr">
        <is>
          <t>Stainless steel AISI 316</t>
        </is>
      </c>
      <c r="G32" s="4" t="inlineStr">
        <is>
          <t>white</t>
        </is>
      </c>
      <c r="H32" s="4" t="inlineStr">
        <is>
          <t>Stainless steel cleaning gun (AISI 316), 1/2" BSP female, Stainless steel AISI 316, white</t>
        </is>
      </c>
      <c r="I32" s="4" t="inlineStr">
        <is>
          <t>12 - Stainless steel cleaning guns (AISI 316).pdf</t>
        </is>
      </c>
      <c r="J32" s="4" t="inlineStr">
        <is>
          <t>Confirmed</t>
        </is>
      </c>
      <c r="K32" s="4" t="n"/>
    </row>
    <row r="33">
      <c r="A33" s="34" t="inlineStr">
        <is>
          <t>Washdown / cleaning equipment</t>
        </is>
      </c>
      <c r="B33" s="34" t="inlineStr">
        <is>
          <t>AKRB001-BL</t>
        </is>
      </c>
      <c r="C33" s="34" t="inlineStr">
        <is>
          <t>WD-RB001-BL</t>
        </is>
      </c>
      <c r="D33" s="34" t="inlineStr">
        <is>
          <t>Stainless steel cleaning gun (AISI 316), high flow</t>
        </is>
      </c>
      <c r="E33" s="34" t="inlineStr">
        <is>
          <t>1/2" BSP female</t>
        </is>
      </c>
      <c r="F33" s="34" t="inlineStr">
        <is>
          <t>Stainless steel AISI 316</t>
        </is>
      </c>
      <c r="G33" s="34" t="inlineStr">
        <is>
          <t>black, high flow</t>
        </is>
      </c>
      <c r="H33" s="34" t="inlineStr">
        <is>
          <t>Stainless steel cleaning gun (AISI 316), high flow, 1/2" BSP female, Stainless steel AISI 316, black, high flow</t>
        </is>
      </c>
      <c r="I33" s="34" t="inlineStr">
        <is>
          <t>12 - Stainless steel cleaning guns (AISI 316).pdf</t>
        </is>
      </c>
      <c r="J33" s="34" t="inlineStr">
        <is>
          <t>Needs review</t>
        </is>
      </c>
      <c r="K33" s="34" t="inlineStr">
        <is>
          <t>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34">
      <c r="A34" s="4" t="inlineStr">
        <is>
          <t>Washdown / cleaning equipment</t>
        </is>
      </c>
      <c r="B34" s="4" t="inlineStr">
        <is>
          <t>AKRNP01-B</t>
        </is>
      </c>
      <c r="C34" s="4" t="inlineStr">
        <is>
          <t>WD-RNP01-B</t>
        </is>
      </c>
      <c r="D34" s="4" t="inlineStr">
        <is>
          <t>Stainless steel cleaning gun (AISI 316)</t>
        </is>
      </c>
      <c r="E34" s="4" t="inlineStr">
        <is>
          <t>1/2" BSP female</t>
        </is>
      </c>
      <c r="F34" s="4" t="inlineStr">
        <is>
          <t>Stainless steel AISI 316</t>
        </is>
      </c>
      <c r="G34" s="4" t="inlineStr">
        <is>
          <t>blue, with trigger guard</t>
        </is>
      </c>
      <c r="H34" s="4" t="inlineStr">
        <is>
          <t>Stainless steel cleaning gun (AISI 316), 1/2" BSP female, Stainless steel AISI 316, blue, with trigger guard</t>
        </is>
      </c>
      <c r="I34" s="4" t="inlineStr">
        <is>
          <t>12 - Stainless steel cleaning guns (AISI 316).pdf</t>
        </is>
      </c>
      <c r="J34" s="4" t="inlineStr">
        <is>
          <t>Confirmed</t>
        </is>
      </c>
      <c r="K34" s="4" t="n"/>
    </row>
    <row r="35">
      <c r="A35" s="4" t="inlineStr">
        <is>
          <t>Washdown / cleaning equipment</t>
        </is>
      </c>
      <c r="B35" s="4" t="inlineStr">
        <is>
          <t>AKRNP01-W</t>
        </is>
      </c>
      <c r="C35" s="4" t="inlineStr">
        <is>
          <t>WD-RNP01-W</t>
        </is>
      </c>
      <c r="D35" s="4" t="inlineStr">
        <is>
          <t>Stainless steel cleaning gun (AISI 316)</t>
        </is>
      </c>
      <c r="E35" s="4" t="inlineStr">
        <is>
          <t>1/2" BSP female</t>
        </is>
      </c>
      <c r="F35" s="4" t="inlineStr">
        <is>
          <t>Stainless steel AISI 316</t>
        </is>
      </c>
      <c r="G35" s="4" t="inlineStr">
        <is>
          <t>white, with trigger guard</t>
        </is>
      </c>
      <c r="H35" s="4" t="inlineStr">
        <is>
          <t>Stainless steel cleaning gun (AISI 316), 1/2" BSP female, Stainless steel AISI 316, white, with trigger guard</t>
        </is>
      </c>
      <c r="I35" s="4" t="inlineStr">
        <is>
          <t>12 - Stainless steel cleaning guns (AISI 316).pdf</t>
        </is>
      </c>
      <c r="J35" s="4" t="inlineStr">
        <is>
          <t>Confirmed</t>
        </is>
      </c>
      <c r="K35" s="4" t="n"/>
    </row>
    <row r="36">
      <c r="A36" s="4" t="inlineStr">
        <is>
          <t>Washdown / cleaning equipment</t>
        </is>
      </c>
      <c r="B36" s="4" t="inlineStr">
        <is>
          <t>AKRNP01-B-U</t>
        </is>
      </c>
      <c r="C36" s="4" t="inlineStr">
        <is>
          <t>WD-RNP01-B-U</t>
        </is>
      </c>
      <c r="D36" s="4" t="inlineStr">
        <is>
          <t>Stainless steel cleaning gun (AISI 316)</t>
        </is>
      </c>
      <c r="E36" s="4" t="inlineStr">
        <is>
          <t>1/2" NPT female</t>
        </is>
      </c>
      <c r="F36" s="4" t="inlineStr">
        <is>
          <t>Stainless steel AISI 316</t>
        </is>
      </c>
      <c r="G36" s="4" t="inlineStr">
        <is>
          <t>blue, with trigger guard</t>
        </is>
      </c>
      <c r="H36" s="4" t="inlineStr">
        <is>
          <t>Stainless steel cleaning gun (AISI 316), 1/2" NPT female, Stainless steel AISI 316, blue, with trigger guard</t>
        </is>
      </c>
      <c r="I36" s="4" t="inlineStr">
        <is>
          <t>12 - Stainless steel cleaning guns (AISI 316).pdf</t>
        </is>
      </c>
      <c r="J36" s="4" t="inlineStr">
        <is>
          <t>Confirmed</t>
        </is>
      </c>
      <c r="K36" s="4" t="n"/>
    </row>
    <row r="37">
      <c r="A37" s="4" t="inlineStr">
        <is>
          <t>Washdown / cleaning equipment</t>
        </is>
      </c>
      <c r="B37" s="4" t="inlineStr">
        <is>
          <t>AKRNP01-W-U</t>
        </is>
      </c>
      <c r="C37" s="4" t="inlineStr">
        <is>
          <t>WD-RNP01-W-U</t>
        </is>
      </c>
      <c r="D37" s="4" t="inlineStr">
        <is>
          <t>Stainless steel cleaning gun (AISI 316)</t>
        </is>
      </c>
      <c r="E37" s="4" t="inlineStr">
        <is>
          <t>1/2" NPT female</t>
        </is>
      </c>
      <c r="F37" s="4" t="inlineStr">
        <is>
          <t>Stainless steel AISI 316</t>
        </is>
      </c>
      <c r="G37" s="4" t="inlineStr">
        <is>
          <t>white, with trigger guard</t>
        </is>
      </c>
      <c r="H37" s="4" t="inlineStr">
        <is>
          <t>Stainless steel cleaning gun (AISI 316), 1/2" NPT female, Stainless steel AISI 316, white, with trigger guard</t>
        </is>
      </c>
      <c r="I37" s="4" t="inlineStr">
        <is>
          <t>12 - Stainless steel cleaning guns (AISI 316).pdf</t>
        </is>
      </c>
      <c r="J37" s="4" t="inlineStr">
        <is>
          <t>Confirmed</t>
        </is>
      </c>
      <c r="K37" s="4" t="n"/>
    </row>
    <row r="38">
      <c r="A38" s="4" t="inlineStr">
        <is>
          <t>Washdown / cleaning equipment</t>
        </is>
      </c>
      <c r="B38" s="4" t="inlineStr">
        <is>
          <t>AKRNP01-B-SW12</t>
        </is>
      </c>
      <c r="C38" s="4" t="inlineStr">
        <is>
          <t>WD-RNP01-B-SW12</t>
        </is>
      </c>
      <c r="D38" s="4" t="inlineStr">
        <is>
          <t>Stainless steel cleaning gun (AISI 316)</t>
        </is>
      </c>
      <c r="E38" s="4" t="inlineStr">
        <is>
          <t>with stainless steel swivel, 1/2" BSP female</t>
        </is>
      </c>
      <c r="F38" s="4" t="inlineStr">
        <is>
          <t>Stainless steel AISI 316</t>
        </is>
      </c>
      <c r="G38" s="4" t="inlineStr">
        <is>
          <t>blue, with trigger guard and swivel</t>
        </is>
      </c>
      <c r="H38" s="4" t="inlineStr">
        <is>
          <t>Stainless steel cleaning gun (AISI 316), with stainless steel swivel, 1/2" BSP female, Stainless steel AISI 316, blue, with trigger guard and swivel</t>
        </is>
      </c>
      <c r="I38" s="4" t="inlineStr">
        <is>
          <t>12 - Stainless steel cleaning guns (AISI 316).pdf</t>
        </is>
      </c>
      <c r="J38" s="4" t="inlineStr">
        <is>
          <t>Confirmed</t>
        </is>
      </c>
      <c r="K38" s="4" t="n"/>
    </row>
    <row r="39">
      <c r="A39" s="4" t="inlineStr">
        <is>
          <t>Washdown / cleaning equipment</t>
        </is>
      </c>
      <c r="B39" s="4" t="inlineStr">
        <is>
          <t>AKRNP01-W-SW12</t>
        </is>
      </c>
      <c r="C39" s="4" t="inlineStr">
        <is>
          <t>WD-RNP01-W-SW12</t>
        </is>
      </c>
      <c r="D39" s="4" t="inlineStr">
        <is>
          <t>Stainless steel cleaning gun (AISI 316)</t>
        </is>
      </c>
      <c r="E39" s="4" t="inlineStr">
        <is>
          <t>with stainless steel swivel, 1/2" BSP female</t>
        </is>
      </c>
      <c r="F39" s="4" t="inlineStr">
        <is>
          <t>Stainless steel AISI 316</t>
        </is>
      </c>
      <c r="G39" s="4" t="inlineStr">
        <is>
          <t>white, with trigger guard and swivel</t>
        </is>
      </c>
      <c r="H39" s="4" t="inlineStr">
        <is>
          <t>Stainless steel cleaning gun (AISI 316), with stainless steel swivel, 1/2" BSP female, Stainless steel AISI 316, white, with trigger guard and swivel</t>
        </is>
      </c>
      <c r="I39" s="4" t="inlineStr">
        <is>
          <t>12 - Stainless steel cleaning guns (AISI 316).pdf</t>
        </is>
      </c>
      <c r="J39" s="4" t="inlineStr">
        <is>
          <t>Confirmed</t>
        </is>
      </c>
      <c r="K39" s="4" t="n"/>
    </row>
    <row r="40">
      <c r="A40" s="4" t="inlineStr">
        <is>
          <t>Washdown / cleaning equipment</t>
        </is>
      </c>
      <c r="B40" s="4" t="inlineStr">
        <is>
          <t>AKNN001-B</t>
        </is>
      </c>
      <c r="C40" s="4" t="inlineStr">
        <is>
          <t>WD-NN001-B</t>
        </is>
      </c>
      <c r="D40" s="4" t="inlineStr">
        <is>
          <t>Lightweight cleaning gun</t>
        </is>
      </c>
      <c r="E40" s="4" t="inlineStr">
        <is>
          <t>1/2" BSP female</t>
        </is>
      </c>
      <c r="F40" s="4" t="inlineStr">
        <is>
          <t>Plastic PA66 (fibreglass-reinforced)</t>
        </is>
      </c>
      <c r="G40" s="4" t="inlineStr">
        <is>
          <t>without trigger guard</t>
        </is>
      </c>
      <c r="H40" s="4" t="inlineStr">
        <is>
          <t>Lightweight cleaning gun, 1/2" BSP female, Plastic PA66 (fibreglass-reinforced), without trigger guard</t>
        </is>
      </c>
      <c r="I40" s="4" t="inlineStr">
        <is>
          <t>13 - Lightweight cleaning gun.pdf</t>
        </is>
      </c>
      <c r="J40" s="4" t="inlineStr">
        <is>
          <t>Confirmed</t>
        </is>
      </c>
      <c r="K40" s="4" t="n"/>
    </row>
    <row r="41">
      <c r="A41" s="4" t="inlineStr">
        <is>
          <t>Washdown / cleaning equipment</t>
        </is>
      </c>
      <c r="B41" s="4" t="inlineStr">
        <is>
          <t>AKNNP01-B</t>
        </is>
      </c>
      <c r="C41" s="4" t="inlineStr">
        <is>
          <t>WD-NNP01-B</t>
        </is>
      </c>
      <c r="D41" s="4" t="inlineStr">
        <is>
          <t>Lightweight cleaning gun</t>
        </is>
      </c>
      <c r="E41" s="4" t="inlineStr">
        <is>
          <t>1/2" BSP female</t>
        </is>
      </c>
      <c r="F41" s="4" t="inlineStr">
        <is>
          <t>Plastic PA66 (fibreglass-reinforced)</t>
        </is>
      </c>
      <c r="G41" s="4" t="inlineStr">
        <is>
          <t>with trigger guard</t>
        </is>
      </c>
      <c r="H41" s="4" t="inlineStr">
        <is>
          <t>Lightweight cleaning gun, 1/2" BSP female, Plastic PA66 (fibreglass-reinforced), with trigger guard</t>
        </is>
      </c>
      <c r="I41" s="4" t="inlineStr">
        <is>
          <t>13 - Lightweight cleaning gun.pdf</t>
        </is>
      </c>
      <c r="J41" s="4" t="inlineStr">
        <is>
          <t>Confirmed</t>
        </is>
      </c>
      <c r="K41" s="4" t="n"/>
    </row>
    <row r="42">
      <c r="A42" s="4" t="inlineStr">
        <is>
          <t>Washdown / cleaning equipment</t>
        </is>
      </c>
      <c r="B42" s="4" t="inlineStr">
        <is>
          <t>AKNL002-B</t>
        </is>
      </c>
      <c r="C42" s="4" t="inlineStr">
        <is>
          <t>WD-NL002-B</t>
        </is>
      </c>
      <c r="D42" s="4" t="inlineStr">
        <is>
          <t>Lightweight cleaning gun</t>
        </is>
      </c>
      <c r="E42" s="4" t="inlineStr">
        <is>
          <t>1/2" BSP male at outlet, for lance mounting</t>
        </is>
      </c>
      <c r="F42" s="4" t="inlineStr">
        <is>
          <t>Plastic PA66</t>
        </is>
      </c>
      <c r="G42" s="4" t="inlineStr">
        <is>
          <t>for lance mounting</t>
        </is>
      </c>
      <c r="H42" s="4" t="inlineStr">
        <is>
          <t>Lightweight cleaning gun, 1/2" BSP male at outlet, for lance mounting, Plastic PA66, for lance mounting</t>
        </is>
      </c>
      <c r="I42" s="4" t="inlineStr">
        <is>
          <t>13 - Lightweight cleaning gun.pdf / 29 - Cleaning guns for lance mounting.pdf</t>
        </is>
      </c>
      <c r="J42" s="4" t="inlineStr">
        <is>
          <t>Confirmed</t>
        </is>
      </c>
      <c r="K42" s="4" t="n"/>
    </row>
    <row r="43">
      <c r="A43" s="4" t="inlineStr">
        <is>
          <t>Washdown / cleaning equipment</t>
        </is>
      </c>
      <c r="B43" s="4" t="inlineStr">
        <is>
          <t>AKNLCP2-B</t>
        </is>
      </c>
      <c r="C43" s="4" t="inlineStr">
        <is>
          <t>WD-NLCP2-B</t>
        </is>
      </c>
      <c r="D43" s="4" t="inlineStr">
        <is>
          <t>Lightweight cleaning gun</t>
        </is>
      </c>
      <c r="E43" s="4" t="inlineStr">
        <is>
          <t>stainless steel quick coupling DN12 + protection at outlet</t>
        </is>
      </c>
      <c r="F43" s="4" t="inlineStr">
        <is>
          <t>Plastic PA66</t>
        </is>
      </c>
      <c r="G43" s="4" t="inlineStr">
        <is>
          <t>quick-coupling outlet</t>
        </is>
      </c>
      <c r="H43" s="4" t="inlineStr">
        <is>
          <t>Lightweight cleaning gun, stainless steel quick coupling DN12 + protection at outlet, Plastic PA66, quick-coupling outlet</t>
        </is>
      </c>
      <c r="I43" s="4" t="inlineStr">
        <is>
          <t>13 - Lightweight cleaning gun.pdf / 29 - Cleaning guns for lance mounting.pdf</t>
        </is>
      </c>
      <c r="J43" s="4" t="inlineStr">
        <is>
          <t>Confirmed</t>
        </is>
      </c>
      <c r="K43" s="4" t="n"/>
    </row>
    <row r="44">
      <c r="A44" s="4" t="inlineStr">
        <is>
          <t>Washdown / cleaning equipment</t>
        </is>
      </c>
      <c r="B44" s="4" t="inlineStr">
        <is>
          <t>AKNLFW2</t>
        </is>
      </c>
      <c r="C44" s="4" t="inlineStr">
        <is>
          <t>WD-NLFW2</t>
        </is>
      </c>
      <c r="D44" s="4" t="inlineStr">
        <is>
          <t>Lightweight cleaning gun</t>
        </is>
      </c>
      <c r="E44" s="4" t="inlineStr">
        <is>
          <t>1/2" BSP female inlet, fixed foam lance at outlet</t>
        </is>
      </c>
      <c r="F44" s="4" t="inlineStr">
        <is>
          <t>Fibreglass-reinforced PA66 (FDA)</t>
        </is>
      </c>
      <c r="G44" s="4" t="inlineStr">
        <is>
          <t>fixed foam-lance combination</t>
        </is>
      </c>
      <c r="H44" s="4" t="inlineStr">
        <is>
          <t>Lightweight cleaning gun, 1/2" BSP female inlet, fixed foam lance at outlet, Fibreglass-reinforced PA66 (FDA), fixed foam-lance combination</t>
        </is>
      </c>
      <c r="I44" s="4" t="inlineStr">
        <is>
          <t>13 - Lightweight cleaning gun.pdf / 30 - Lightweight foam gun.pdf</t>
        </is>
      </c>
      <c r="J44" s="4" t="inlineStr">
        <is>
          <t>Confirmed</t>
        </is>
      </c>
      <c r="K44" s="4" t="n"/>
    </row>
    <row r="45">
      <c r="A45" s="34" t="inlineStr">
        <is>
          <t>Washdown / cleaning equipment</t>
        </is>
      </c>
      <c r="B45" s="34" t="inlineStr">
        <is>
          <t>AKNNA02-B</t>
        </is>
      </c>
      <c r="C45" s="34" t="inlineStr">
        <is>
          <t>WD-NNA02-B</t>
        </is>
      </c>
      <c r="D45" s="34" t="inlineStr">
        <is>
          <t>Lightweight cleaning gun</t>
        </is>
      </c>
      <c r="E45" s="34" t="inlineStr">
        <is>
          <t>chrome-plated brass adapter at outlet</t>
        </is>
      </c>
      <c r="F45" s="34" t="inlineStr">
        <is>
          <t>Plastic PA66</t>
        </is>
      </c>
      <c r="G45" s="34" t="n"/>
      <c r="H45" s="34" t="inlineStr">
        <is>
          <t>Lightweight cleaning gun, chrome-plated brass adapter at outlet, Plastic PA66</t>
        </is>
      </c>
      <c r="I45" s="34" t="inlineStr">
        <is>
          <t>13 - Lightweight cleaning gun.pdf</t>
        </is>
      </c>
      <c r="J45" s="34" t="inlineStr">
        <is>
          <t>Needs review</t>
        </is>
      </c>
      <c r="K45" s="34" t="inlineStr">
        <is>
          <t>No dedicated spec page found for this variant in this brochure set - confirm material/technical data with AKBO</t>
        </is>
      </c>
    </row>
    <row r="46">
      <c r="A46" s="4" t="inlineStr">
        <is>
          <t>Washdown / cleaning equipment</t>
        </is>
      </c>
      <c r="B46" s="4" t="inlineStr">
        <is>
          <t>BABTN01-B</t>
        </is>
      </c>
      <c r="C46" s="4" t="inlineStr">
        <is>
          <t>WD-BABTN01-B</t>
        </is>
      </c>
      <c r="D46" s="4" t="inlineStr">
        <is>
          <t>Baby series cleaning gun</t>
        </is>
      </c>
      <c r="E46" s="4" t="inlineStr">
        <is>
          <t>1/2" BSP female inlet</t>
        </is>
      </c>
      <c r="F46" s="4" t="inlineStr">
        <is>
          <t>Aluminium</t>
        </is>
      </c>
      <c r="G46" s="4" t="inlineStr">
        <is>
          <t>rear trigger, compact</t>
        </is>
      </c>
      <c r="H46" s="4" t="inlineStr">
        <is>
          <t>Baby series cleaning gun, 1/2" BSP female inlet, Aluminium, rear trigger, compact</t>
        </is>
      </c>
      <c r="I46" s="4" t="inlineStr">
        <is>
          <t>14 - Baby series cleaning guns.pdf</t>
        </is>
      </c>
      <c r="J46" s="4" t="inlineStr">
        <is>
          <t>Confirmed</t>
        </is>
      </c>
      <c r="K46" s="4" t="n"/>
    </row>
    <row r="47">
      <c r="A47" s="4" t="inlineStr">
        <is>
          <t>Washdown / cleaning equipment</t>
        </is>
      </c>
      <c r="B47" s="4" t="inlineStr">
        <is>
          <t>BMBTN01-B</t>
        </is>
      </c>
      <c r="C47" s="4" t="inlineStr">
        <is>
          <t>WD-BMBTN01-B</t>
        </is>
      </c>
      <c r="D47" s="4" t="inlineStr">
        <is>
          <t>Baby series cleaning gun</t>
        </is>
      </c>
      <c r="E47" s="4" t="inlineStr">
        <is>
          <t>1/2" BSP female inlet</t>
        </is>
      </c>
      <c r="F47" s="4" t="inlineStr">
        <is>
          <t>Brass HPb59-3</t>
        </is>
      </c>
      <c r="G47" s="4" t="inlineStr">
        <is>
          <t>rear trigger, compact</t>
        </is>
      </c>
      <c r="H47" s="4" t="inlineStr">
        <is>
          <t>Baby series cleaning gun, 1/2" BSP female inlet, Brass HPb59-3, rear trigger, compact</t>
        </is>
      </c>
      <c r="I47" s="4" t="inlineStr">
        <is>
          <t>14 - Baby series cleaning guns.pdf</t>
        </is>
      </c>
      <c r="J47" s="4" t="inlineStr">
        <is>
          <t>Confirmed</t>
        </is>
      </c>
      <c r="K47" s="4" t="n"/>
    </row>
    <row r="48">
      <c r="A48" s="4" t="inlineStr">
        <is>
          <t>Washdown / cleaning equipment</t>
        </is>
      </c>
      <c r="B48" s="4" t="inlineStr">
        <is>
          <t>BRBTN01-B</t>
        </is>
      </c>
      <c r="C48" s="4" t="inlineStr">
        <is>
          <t>WD-BRBTN01-B</t>
        </is>
      </c>
      <c r="D48" s="4" t="inlineStr">
        <is>
          <t>Baby series cleaning gun</t>
        </is>
      </c>
      <c r="E48" s="4" t="inlineStr">
        <is>
          <t>1/2" BSP female inlet</t>
        </is>
      </c>
      <c r="F48" s="4" t="inlineStr">
        <is>
          <t>Stainless steel X5CrNiMo17-12-2 (AISI 316)</t>
        </is>
      </c>
      <c r="G48" s="4" t="inlineStr">
        <is>
          <t>rear trigger, compact</t>
        </is>
      </c>
      <c r="H48" s="4" t="inlineStr">
        <is>
          <t>Baby series cleaning gun, 1/2" BSP female inlet, Stainless steel X5CrNiMo17-12-2 (AISI 316), rear trigger, compact</t>
        </is>
      </c>
      <c r="I48" s="4" t="inlineStr">
        <is>
          <t>14 - Baby series cleaning guns.pdf</t>
        </is>
      </c>
      <c r="J48" s="4" t="inlineStr">
        <is>
          <t>Confirmed</t>
        </is>
      </c>
      <c r="K48" s="4" t="n"/>
    </row>
    <row r="49">
      <c r="A49" s="4" t="inlineStr">
        <is>
          <t>Washdown / cleaning equipment</t>
        </is>
      </c>
      <c r="B49" s="4" t="inlineStr">
        <is>
          <t>AKMB001-BL</t>
        </is>
      </c>
      <c r="C49" s="4" t="inlineStr">
        <is>
          <t>WD-MB001-BL</t>
        </is>
      </c>
      <c r="D49" s="4" t="inlineStr">
        <is>
          <t>High-flow cleaning gun</t>
        </is>
      </c>
      <c r="E49" s="4" t="inlineStr">
        <is>
          <t>1/2" BSP female</t>
        </is>
      </c>
      <c r="F49" s="4" t="inlineStr">
        <is>
          <t>Brass</t>
        </is>
      </c>
      <c r="G49" s="4" t="inlineStr">
        <is>
          <t>black, high flow</t>
        </is>
      </c>
      <c r="H49" s="4" t="inlineStr">
        <is>
          <t>High-flow cleaning gun, 1/2" BSP female, Brass, black, high flow</t>
        </is>
      </c>
      <c r="I49" s="4" t="inlineStr">
        <is>
          <t>16 - High-flow cleaning guns.pdf</t>
        </is>
      </c>
      <c r="J49" s="4" t="inlineStr">
        <is>
          <t>Confirmed</t>
        </is>
      </c>
      <c r="K49" s="4" t="n"/>
    </row>
    <row r="50">
      <c r="A50" s="4" t="inlineStr">
        <is>
          <t>Washdown / cleaning equipment</t>
        </is>
      </c>
      <c r="B50" s="4" t="inlineStr">
        <is>
          <t>AKMBP01-BL</t>
        </is>
      </c>
      <c r="C50" s="4" t="inlineStr">
        <is>
          <t>WD-MBP01-BL</t>
        </is>
      </c>
      <c r="D50" s="4" t="inlineStr">
        <is>
          <t>High-flow cleaning gun</t>
        </is>
      </c>
      <c r="E50" s="4" t="inlineStr">
        <is>
          <t>1/2" BSP female</t>
        </is>
      </c>
      <c r="F50" s="4" t="inlineStr">
        <is>
          <t>Brass</t>
        </is>
      </c>
      <c r="G50" s="4" t="inlineStr">
        <is>
          <t>black, with trigger guard, high flow</t>
        </is>
      </c>
      <c r="H50" s="4" t="inlineStr">
        <is>
          <t>High-flow cleaning gun, 1/2" BSP female, Brass, black, with trigger guard, high flow</t>
        </is>
      </c>
      <c r="I50" s="4" t="inlineStr">
        <is>
          <t>16 - High-flow cleaning guns.pdf</t>
        </is>
      </c>
      <c r="J50" s="4" t="inlineStr">
        <is>
          <t>Confirmed</t>
        </is>
      </c>
      <c r="K50" s="4" t="n"/>
    </row>
    <row r="51">
      <c r="A51" s="34" t="inlineStr">
        <is>
          <t>Washdown / cleaning equipment</t>
        </is>
      </c>
      <c r="B51" s="34" t="inlineStr">
        <is>
          <t>AKMBP01-B-SWM14-3/4</t>
        </is>
      </c>
      <c r="C51" s="34" t="inlineStr">
        <is>
          <t>WD-MBP01-B-SWM14-3/4</t>
        </is>
      </c>
      <c r="D51" s="34" t="inlineStr">
        <is>
          <t>High-flow cleaning gun</t>
        </is>
      </c>
      <c r="E51" s="34" t="inlineStr">
        <is>
          <t>with swivel, 3/4" BSP female</t>
        </is>
      </c>
      <c r="F51" s="34" t="inlineStr">
        <is>
          <t>Brass</t>
        </is>
      </c>
      <c r="G51" s="34" t="inlineStr">
        <is>
          <t>with trigger guard and swivel</t>
        </is>
      </c>
      <c r="H51" s="34" t="inlineStr">
        <is>
          <t>High-flow cleaning gun, with swivel, 3/4" BSP female, Brass, with trigger guard and swivel</t>
        </is>
      </c>
      <c r="I51" s="34" t="inlineStr">
        <is>
          <t>16 - High-flow cleaning guns.pdf</t>
        </is>
      </c>
      <c r="J51" s="34" t="inlineStr">
        <is>
          <t>Needs review</t>
        </is>
      </c>
      <c r="K51" s="34" t="inlineStr">
        <is>
          <t>This model number is written three different ways on this page (AKMBP01-B-SWM14-3/4 in heading/caption vs AKMBP01-BL-SW14-34 in the weight bullet) - confirm the correct number with AKBO</t>
        </is>
      </c>
    </row>
    <row r="52">
      <c r="A52" s="34" t="inlineStr">
        <is>
          <t>Washdown / cleaning equipment</t>
        </is>
      </c>
      <c r="B52" s="34" t="inlineStr">
        <is>
          <t>AKRHP01-R</t>
        </is>
      </c>
      <c r="C52" s="34" t="inlineStr">
        <is>
          <t>WD-RHP01-R</t>
        </is>
      </c>
      <c r="D52" s="34" t="inlineStr">
        <is>
          <t>Hot-water cleaning gun (AISI 316)</t>
        </is>
      </c>
      <c r="E52" s="34" t="inlineStr">
        <is>
          <t>1/2" BSP female</t>
        </is>
      </c>
      <c r="F52" s="34" t="inlineStr">
        <is>
          <t>Stainless steel AISI 316</t>
        </is>
      </c>
      <c r="G52" s="34" t="inlineStr">
        <is>
          <t>red, base model</t>
        </is>
      </c>
      <c r="H52" s="34" t="inlineStr">
        <is>
          <t>Hot-water cleaning gun (AISI 316), 1/2" BSP female, Stainless steel AISI 316, red, base model</t>
        </is>
      </c>
      <c r="I52" s="34" t="inlineStr">
        <is>
          <t>17 - Cleaning guns for hot water in stainless steel (AISI 316).pdf</t>
        </is>
      </c>
      <c r="J52" s="34" t="inlineStr">
        <is>
          <t>Needs review</t>
        </is>
      </c>
      <c r="K52" s="34" t="inlineStr">
        <is>
          <t>Body text calls the base model "AKRHP01-R" but the technical-data table heads its column "AKRHP02-R" - confirm which is correct with AKBO</t>
        </is>
      </c>
    </row>
    <row r="53">
      <c r="A53" s="34" t="inlineStr">
        <is>
          <t>Washdown / cleaning equipment</t>
        </is>
      </c>
      <c r="B53" s="34" t="inlineStr">
        <is>
          <t>AKRHP02-R-L40</t>
        </is>
      </c>
      <c r="C53" s="34" t="inlineStr">
        <is>
          <t>WD-RHP02-R-L40</t>
        </is>
      </c>
      <c r="D53" s="34" t="inlineStr">
        <is>
          <t>Hot-water cleaning gun (AISI 316), lance version</t>
        </is>
      </c>
      <c r="E53" s="34" t="inlineStr">
        <is>
          <t>1/2" BSP female, 40cm lance</t>
        </is>
      </c>
      <c r="F53" s="34" t="inlineStr">
        <is>
          <t>Stainless steel AISI 316</t>
        </is>
      </c>
      <c r="G53" s="34" t="inlineStr">
        <is>
          <t>red, with lance</t>
        </is>
      </c>
      <c r="H53" s="34" t="inlineStr">
        <is>
          <t>Hot-water cleaning gun (AISI 316), lance version, 1/2" BSP female, 40cm lance, Stainless steel AISI 316, red, with lance</t>
        </is>
      </c>
      <c r="I53" s="34" t="inlineStr">
        <is>
          <t>17 - Cleaning guns for hot water in stainless steel (AISI 316).pdf</t>
        </is>
      </c>
      <c r="J53" s="34" t="inlineStr">
        <is>
          <t>Needs review</t>
        </is>
      </c>
      <c r="K53" s="34" t="inlineStr">
        <is>
          <t>Table heading drops the "-R-" and reads "AKRHP02-L40" - confirm exact number with AKBO</t>
        </is>
      </c>
    </row>
    <row r="54">
      <c r="A54" s="4" t="inlineStr">
        <is>
          <t>Washdown / cleaning equipment</t>
        </is>
      </c>
      <c r="B54" s="4" t="inlineStr">
        <is>
          <t>AKRHPB1-R</t>
        </is>
      </c>
      <c r="C54" s="4" t="inlineStr">
        <is>
          <t>WD-RHPB1-R</t>
        </is>
      </c>
      <c r="D54" s="4" t="inlineStr">
        <is>
          <t>Hot-water cleaning gun (AISI 316), high flow</t>
        </is>
      </c>
      <c r="E54" s="4" t="inlineStr">
        <is>
          <t>1/2" BSP female</t>
        </is>
      </c>
      <c r="F54" s="4" t="inlineStr">
        <is>
          <t>Stainless steel AISI 316</t>
        </is>
      </c>
      <c r="G54" s="4" t="inlineStr">
        <is>
          <t>red, high flow</t>
        </is>
      </c>
      <c r="H54" s="4" t="inlineStr">
        <is>
          <t>Hot-water cleaning gun (AISI 316), high flow, 1/2" BSP female, Stainless steel AISI 316, red, high flow</t>
        </is>
      </c>
      <c r="I54" s="4" t="inlineStr">
        <is>
          <t>17 - Cleaning guns for hot water in stainless steel (AISI 316).pdf</t>
        </is>
      </c>
      <c r="J54" s="4" t="inlineStr">
        <is>
          <t>Confirmed</t>
        </is>
      </c>
      <c r="K54" s="4" t="n"/>
    </row>
    <row r="55">
      <c r="A55" s="4" t="inlineStr">
        <is>
          <t>Washdown / cleaning equipment</t>
        </is>
      </c>
      <c r="B55" s="4" t="inlineStr">
        <is>
          <t>AKRNP01-BL-EX</t>
        </is>
      </c>
      <c r="C55" s="4" t="inlineStr">
        <is>
          <t>WD-RNP01-BL-EX</t>
        </is>
      </c>
      <c r="D55" s="4" t="inlineStr">
        <is>
          <t>ATEX cleaning gun</t>
        </is>
      </c>
      <c r="E55" s="4" t="inlineStr">
        <is>
          <t>1/2" BSP female</t>
        </is>
      </c>
      <c r="F55" s="4" t="inlineStr">
        <is>
          <t>Stainless steel AISI 316</t>
        </is>
      </c>
      <c r="G55" s="4" t="inlineStr">
        <is>
          <t>black, ATEX-certified, with trigger guard</t>
        </is>
      </c>
      <c r="H55" s="4" t="inlineStr">
        <is>
          <t>ATEX cleaning gun, 1/2" BSP female, Stainless steel AISI 316, black, ATEX-certified, with trigger guard</t>
        </is>
      </c>
      <c r="I55" s="4" t="inlineStr">
        <is>
          <t>18 - ATEX cleaning gun.pdf</t>
        </is>
      </c>
      <c r="J55" s="4" t="inlineStr">
        <is>
          <t>Confirmed</t>
        </is>
      </c>
      <c r="K55" s="4" t="inlineStr">
        <is>
          <t>Catalogue prints max temp as "60C (200F)" - correct conversion is 140F, likely a catalogue typo (informational only, does not affect part number)</t>
        </is>
      </c>
    </row>
    <row r="56">
      <c r="A56" s="4" t="inlineStr">
        <is>
          <t>Washdown / cleaning equipment</t>
        </is>
      </c>
      <c r="B56" s="4" t="inlineStr">
        <is>
          <t>AKRN002-LB-LAT</t>
        </is>
      </c>
      <c r="C56" s="4" t="inlineStr">
        <is>
          <t>WD-RN002-LB-LAT</t>
        </is>
      </c>
      <c r="D56" s="4" t="inlineStr">
        <is>
          <t>Sterilisable cleaning gun (AISI 316)</t>
        </is>
      </c>
      <c r="E56" s="4" t="inlineStr">
        <is>
          <t>1/2" BSP female</t>
        </is>
      </c>
      <c r="F56" s="4" t="inlineStr">
        <is>
          <t>Stainless steel AISI 316</t>
        </is>
      </c>
      <c r="G56" s="4" t="inlineStr">
        <is>
          <t>latex rubber jacket, Viton seals, sterilisable to 160C</t>
        </is>
      </c>
      <c r="H56" s="4" t="inlineStr">
        <is>
          <t>Sterilisable cleaning gun (AISI 316), 1/2" BSP female, Stainless steel AISI 316, latex rubber jacket, Viton seals, sterilisable to 160C</t>
        </is>
      </c>
      <c r="I56" s="4" t="inlineStr">
        <is>
          <t>19 - Sterilisable cleaning gun in stainless steel (AISI 316).pdf</t>
        </is>
      </c>
      <c r="J56" s="4" t="inlineStr">
        <is>
          <t>Confirmed</t>
        </is>
      </c>
      <c r="K56" s="4" t="n"/>
    </row>
    <row r="57">
      <c r="A57" s="4" t="inlineStr">
        <is>
          <t>Washdown / cleaning equipment</t>
        </is>
      </c>
      <c r="B57" s="4" t="inlineStr">
        <is>
          <t>AKRBT01-B-U</t>
        </is>
      </c>
      <c r="C57" s="4" t="inlineStr">
        <is>
          <t>WD-RBT01-B-U</t>
        </is>
      </c>
      <c r="D57" s="4" t="inlineStr">
        <is>
          <t>Stainless steel gun with rear trigger (AISI 316)</t>
        </is>
      </c>
      <c r="E57" s="4" t="inlineStr">
        <is>
          <t>1/2" NPT female</t>
        </is>
      </c>
      <c r="F57" s="4" t="inlineStr">
        <is>
          <t>Stainless steel AISI 316</t>
        </is>
      </c>
      <c r="G57" s="4" t="inlineStr">
        <is>
          <t>standard flow</t>
        </is>
      </c>
      <c r="H57" s="4" t="inlineStr">
        <is>
          <t>Stainless steel gun with rear trigger (AISI 316), 1/2" NPT female, Stainless steel AISI 316, standard flow</t>
        </is>
      </c>
      <c r="I57" s="4" t="inlineStr">
        <is>
          <t>20 - Stainless steel (AISI 316) cleaning gun with rear trigger.pdf</t>
        </is>
      </c>
      <c r="J57" s="4" t="inlineStr">
        <is>
          <t>Confirmed</t>
        </is>
      </c>
      <c r="K57" s="4" t="inlineStr">
        <is>
          <t>Technical table prints connection as "NTP" (typo for NPT); body text weight "980g" does not match either table weight (940g/880g) - informational only</t>
        </is>
      </c>
    </row>
    <row r="58">
      <c r="A58" s="4" t="inlineStr">
        <is>
          <t>Washdown / cleaning equipment</t>
        </is>
      </c>
      <c r="B58" s="4" t="inlineStr">
        <is>
          <t>AKRBTB1-B-U</t>
        </is>
      </c>
      <c r="C58" s="4" t="inlineStr">
        <is>
          <t>WD-RBTB1-B-U</t>
        </is>
      </c>
      <c r="D58" s="4" t="inlineStr">
        <is>
          <t>Stainless steel gun with rear trigger (AISI 316), high flow</t>
        </is>
      </c>
      <c r="E58" s="4" t="inlineStr">
        <is>
          <t>1/2" NPT female</t>
        </is>
      </c>
      <c r="F58" s="4" t="inlineStr">
        <is>
          <t>Stainless steel AISI 316</t>
        </is>
      </c>
      <c r="G58" s="4" t="inlineStr">
        <is>
          <t>high flow</t>
        </is>
      </c>
      <c r="H58" s="4" t="inlineStr">
        <is>
          <t>Stainless steel gun with rear trigger (AISI 316), high flow, 1/2" NPT female, Stainless steel AISI 316, high flow</t>
        </is>
      </c>
      <c r="I58" s="4" t="inlineStr">
        <is>
          <t>20 - Stainless steel (AISI 316) cleaning gun with rear trigger.pdf</t>
        </is>
      </c>
      <c r="J58" s="4" t="inlineStr">
        <is>
          <t>Confirmed</t>
        </is>
      </c>
      <c r="K58" s="4" t="inlineStr">
        <is>
          <t>Same "NTP" typo noted in the technical table</t>
        </is>
      </c>
    </row>
    <row r="59">
      <c r="A59" s="4" t="inlineStr">
        <is>
          <t>Washdown / cleaning equipment</t>
        </is>
      </c>
      <c r="B59" s="4" t="inlineStr">
        <is>
          <t>AKAWLU1-B</t>
        </is>
      </c>
      <c r="C59" s="4" t="inlineStr">
        <is>
          <t>WD-AWLU1-B</t>
        </is>
      </c>
      <c r="D59" s="4" t="inlineStr">
        <is>
          <t>Water-air gun</t>
        </is>
      </c>
      <c r="E59" s="4" t="inlineStr">
        <is>
          <t>2x 10mm hose tails (water and air inlets)</t>
        </is>
      </c>
      <c r="F59" s="4" t="inlineStr">
        <is>
          <t>Aluminium</t>
        </is>
      </c>
      <c r="G59" s="4" t="n"/>
      <c r="H59" s="4" t="inlineStr">
        <is>
          <t>Water-air gun, 2x 10mm hose tails (water and air inlets), Aluminium</t>
        </is>
      </c>
      <c r="I59" s="4" t="inlineStr">
        <is>
          <t>22 - Water-air gun.pdf</t>
        </is>
      </c>
      <c r="J59" s="4" t="inlineStr">
        <is>
          <t>Confirmed</t>
        </is>
      </c>
      <c r="K59" s="4" t="n"/>
    </row>
    <row r="60">
      <c r="A60" s="4" t="inlineStr">
        <is>
          <t>Washdown / cleaning equipment</t>
        </is>
      </c>
      <c r="B60" s="4" t="inlineStr">
        <is>
          <t>AGIL572</t>
        </is>
      </c>
      <c r="C60" s="4" t="inlineStr">
        <is>
          <t>WD-AGIL572</t>
        </is>
      </c>
      <c r="D60" s="4" t="inlineStr">
        <is>
          <t>Lightweight spray gun</t>
        </is>
      </c>
      <c r="E60" s="4" t="inlineStr">
        <is>
          <t>3/4" GHT male outlet</t>
        </is>
      </c>
      <c r="F60" s="4" t="inlineStr">
        <is>
          <t>Chrome-plated zinc</t>
        </is>
      </c>
      <c r="G60" s="4" t="n"/>
      <c r="H60" s="4" t="inlineStr">
        <is>
          <t>Lightweight spray gun, 3/4" GHT male outlet, Chrome-plated zinc</t>
        </is>
      </c>
      <c r="I60" s="4" t="inlineStr">
        <is>
          <t>24 - AGIL572 lightweight spray gun.pdf</t>
        </is>
      </c>
      <c r="J60" s="4" t="inlineStr">
        <is>
          <t>Confirmed</t>
        </is>
      </c>
      <c r="K60" s="4" t="inlineStr">
        <is>
          <t>Catalogue number has no "AK" prefix at all</t>
        </is>
      </c>
    </row>
    <row r="61">
      <c r="A61" s="34" t="inlineStr">
        <is>
          <t>Washdown / cleaning equipment</t>
        </is>
      </c>
      <c r="B61" s="34" t="inlineStr">
        <is>
          <t>AK53800A1</t>
        </is>
      </c>
      <c r="C61" s="34" t="inlineStr">
        <is>
          <t>WD-53800A1</t>
        </is>
      </c>
      <c r="D61" s="34" t="inlineStr">
        <is>
          <t>NiTO I cleaning gun</t>
        </is>
      </c>
      <c r="E61" s="34" t="inlineStr">
        <is>
          <t>1/2" NiTO quick-connect inlet</t>
        </is>
      </c>
      <c r="F61" s="34" t="inlineStr">
        <is>
          <t>Not stated in catalogue</t>
        </is>
      </c>
      <c r="G61" s="34" t="n"/>
      <c r="H61" s="34" t="inlineStr">
        <is>
          <t>NiTO I cleaning gun, 1/2" NiTO quick-connect inlet, Not stated in catalogue</t>
        </is>
      </c>
      <c r="I61" s="34" t="inlineStr">
        <is>
          <t>25 - NiTO I cleaning gun.pdf</t>
        </is>
      </c>
      <c r="J61" s="34" t="inlineStr">
        <is>
          <t>Needs review</t>
        </is>
      </c>
      <c r="K61" s="34" t="inlineStr">
        <is>
          <t>Material not stated in catalogue - confirm before quoting on material-sensitive jobs</t>
        </is>
      </c>
    </row>
    <row r="62">
      <c r="A62" s="34" t="inlineStr">
        <is>
          <t>Washdown / cleaning equipment</t>
        </is>
      </c>
      <c r="B62" s="34" t="inlineStr">
        <is>
          <t>AK30550A3</t>
        </is>
      </c>
      <c r="C62" s="34" t="inlineStr">
        <is>
          <t>WD-30550A3</t>
        </is>
      </c>
      <c r="D62" s="34" t="inlineStr">
        <is>
          <t>NiTO II cleaning gun</t>
        </is>
      </c>
      <c r="E62" s="34" t="inlineStr">
        <is>
          <t>NiTO quick-connect inlet</t>
        </is>
      </c>
      <c r="F62" s="34" t="inlineStr">
        <is>
          <t>Not stated in catalogue</t>
        </is>
      </c>
      <c r="G62" s="34" t="n"/>
      <c r="H62" s="34" t="inlineStr">
        <is>
          <t>NiTO II cleaning gun, NiTO quick-connect inlet, Not stated in catalogue</t>
        </is>
      </c>
      <c r="I62" s="34" t="inlineStr">
        <is>
          <t>26 - NiTO II cleaning gun.pdf</t>
        </is>
      </c>
      <c r="J62" s="34" t="inlineStr">
        <is>
          <t>Needs review</t>
        </is>
      </c>
      <c r="K62" s="34" t="inlineStr">
        <is>
          <t>Material not stated in catalogue - confirm before quoting on material-sensitive jobs. Related accessory AK30210A0 (spare nozzle set) exists but is out of scope - not a gun.</t>
        </is>
      </c>
    </row>
    <row r="63">
      <c r="A63" s="34" t="inlineStr">
        <is>
          <t>Washdown / cleaning equipment</t>
        </is>
      </c>
      <c r="B63" s="34" t="inlineStr">
        <is>
          <t>AK40255A3</t>
        </is>
      </c>
      <c r="C63" s="34" t="inlineStr">
        <is>
          <t>WD-40255A3</t>
        </is>
      </c>
      <c r="D63" s="34" t="inlineStr">
        <is>
          <t>NiTO ERGO hot-water gun</t>
        </is>
      </c>
      <c r="E63" s="34" t="inlineStr">
        <is>
          <t>NiTO quick-connect inlet</t>
        </is>
      </c>
      <c r="F63" s="34" t="inlineStr">
        <is>
          <t>Not stated in catalogue</t>
        </is>
      </c>
      <c r="G63" s="34" t="n"/>
      <c r="H63" s="34" t="inlineStr">
        <is>
          <t>NiTO ERGO hot-water gun, NiTO quick-connect inlet, Not stated in catalogue</t>
        </is>
      </c>
      <c r="I63" s="34" t="inlineStr">
        <is>
          <t>27 - NiTO ERGO hot-water gun.pdf</t>
        </is>
      </c>
      <c r="J63" s="34" t="inlineStr">
        <is>
          <t>Needs review</t>
        </is>
      </c>
      <c r="K63" s="34" t="inlineStr">
        <is>
          <t>Material not stated in catalogue - confirm before quoting on material-sensitive jobs</t>
        </is>
      </c>
    </row>
    <row r="64">
      <c r="A64" s="4" t="inlineStr">
        <is>
          <t>Washdown / cleaning equipment</t>
        </is>
      </c>
      <c r="B64" s="4" t="inlineStr">
        <is>
          <t>AKRL002-B</t>
        </is>
      </c>
      <c r="C64" s="4" t="inlineStr">
        <is>
          <t>WD-RL002-B</t>
        </is>
      </c>
      <c r="D64" s="4" t="inlineStr">
        <is>
          <t>Cleaning gun for lance mounting</t>
        </is>
      </c>
      <c r="E64" s="4" t="inlineStr">
        <is>
          <t>1/2" BSP male outlet</t>
        </is>
      </c>
      <c r="F64" s="4" t="inlineStr">
        <is>
          <t>Stainless steel AISI 316</t>
        </is>
      </c>
      <c r="G64" s="4" t="n"/>
      <c r="H64" s="4" t="inlineStr">
        <is>
          <t>Cleaning gun for lance mounting, 1/2" BSP male outlet, Stainless steel AISI 316</t>
        </is>
      </c>
      <c r="I64" s="4" t="inlineStr">
        <is>
          <t>29 - Cleaning guns for lance mounting.pdf</t>
        </is>
      </c>
      <c r="J64" s="4" t="inlineStr">
        <is>
          <t>Confirmed</t>
        </is>
      </c>
      <c r="K64" s="4" t="n"/>
    </row>
    <row r="65">
      <c r="A65" s="4" t="inlineStr">
        <is>
          <t>Washdown / cleaning equipment</t>
        </is>
      </c>
      <c r="B65" s="4" t="inlineStr">
        <is>
          <t>AKCL002-B</t>
        </is>
      </c>
      <c r="C65" s="4" t="inlineStr">
        <is>
          <t>WD-CL002-B</t>
        </is>
      </c>
      <c r="D65" s="4" t="inlineStr">
        <is>
          <t>Cleaning gun for lance mounting</t>
        </is>
      </c>
      <c r="E65" s="4" t="inlineStr">
        <is>
          <t>1/2" BSP male outlet</t>
        </is>
      </c>
      <c r="F65" s="4" t="inlineStr">
        <is>
          <t>Brass, chrome-plated</t>
        </is>
      </c>
      <c r="G65" s="4" t="n"/>
      <c r="H65" s="4" t="inlineStr">
        <is>
          <t>Cleaning gun for lance mounting, 1/2" BSP male outlet, Brass, chrome-plated</t>
        </is>
      </c>
      <c r="I65" s="4" t="inlineStr">
        <is>
          <t>29 - Cleaning guns for lance mounting.pdf</t>
        </is>
      </c>
      <c r="J65" s="4" t="inlineStr">
        <is>
          <t>Confirmed</t>
        </is>
      </c>
      <c r="K65" s="4" t="n"/>
    </row>
    <row r="66">
      <c r="A66" s="4" t="inlineStr">
        <is>
          <t>Washdown / cleaning equipment</t>
        </is>
      </c>
      <c r="B66" s="4" t="inlineStr">
        <is>
          <t>KLML002-B</t>
        </is>
      </c>
      <c r="C66" s="4" t="inlineStr">
        <is>
          <t>WD-KLML002-B</t>
        </is>
      </c>
      <c r="D66" s="4" t="inlineStr">
        <is>
          <t>Cleaning gun for lance mounting</t>
        </is>
      </c>
      <c r="E66" s="4" t="inlineStr">
        <is>
          <t>1/2" BSP male outlet</t>
        </is>
      </c>
      <c r="F66" s="4" t="inlineStr">
        <is>
          <t>Brass</t>
        </is>
      </c>
      <c r="G66" s="4" t="n"/>
      <c r="H66" s="4" t="inlineStr">
        <is>
          <t>Cleaning gun for lance mounting, 1/2" BSP male outlet, Brass</t>
        </is>
      </c>
      <c r="I66" s="4" t="inlineStr">
        <is>
          <t>29 - Cleaning guns for lance mounting.pdf</t>
        </is>
      </c>
      <c r="J66" s="4" t="inlineStr">
        <is>
          <t>Confirmed</t>
        </is>
      </c>
      <c r="K66" s="4" t="n"/>
    </row>
    <row r="67">
      <c r="A67" s="4" t="inlineStr">
        <is>
          <t>Washdown / cleaning equipment</t>
        </is>
      </c>
      <c r="B67" s="4" t="inlineStr">
        <is>
          <t>AKCLCP2-B</t>
        </is>
      </c>
      <c r="C67" s="4" t="inlineStr">
        <is>
          <t>WD-CLCP2-B</t>
        </is>
      </c>
      <c r="D67" s="4" t="inlineStr">
        <is>
          <t>Cleaning gun for lance mounting</t>
        </is>
      </c>
      <c r="E67" s="4" t="inlineStr">
        <is>
          <t>quick coupling outlet</t>
        </is>
      </c>
      <c r="F67" s="4" t="inlineStr">
        <is>
          <t>Brass, chrome-plated</t>
        </is>
      </c>
      <c r="G67" s="4" t="inlineStr">
        <is>
          <t>with quick-release coupling</t>
        </is>
      </c>
      <c r="H67" s="4" t="inlineStr">
        <is>
          <t>Cleaning gun for lance mounting, quick coupling outlet, Brass, chrome-plated, with quick-release coupling</t>
        </is>
      </c>
      <c r="I67" s="4" t="inlineStr">
        <is>
          <t>29 - Cleaning guns for lance mounting.pdf</t>
        </is>
      </c>
      <c r="J67" s="4" t="inlineStr">
        <is>
          <t>Confirmed</t>
        </is>
      </c>
      <c r="K67" s="4" t="n"/>
    </row>
    <row r="68">
      <c r="A68" s="4" t="inlineStr">
        <is>
          <t>Washdown / cleaning equipment</t>
        </is>
      </c>
      <c r="B68" s="4" t="inlineStr">
        <is>
          <t>AKRLCP2-B</t>
        </is>
      </c>
      <c r="C68" s="4" t="inlineStr">
        <is>
          <t>WD-RLCP2-B</t>
        </is>
      </c>
      <c r="D68" s="4" t="inlineStr">
        <is>
          <t>Cleaning gun for lance mounting</t>
        </is>
      </c>
      <c r="E68" s="4" t="inlineStr">
        <is>
          <t>quick coupling outlet</t>
        </is>
      </c>
      <c r="F68" s="4" t="inlineStr">
        <is>
          <t>Stainless steel AISI 316</t>
        </is>
      </c>
      <c r="G68" s="4" t="inlineStr">
        <is>
          <t>with quick-release coupling</t>
        </is>
      </c>
      <c r="H68" s="4" t="inlineStr">
        <is>
          <t>Cleaning gun for lance mounting, quick coupling outlet, Stainless steel AISI 316, with quick-release coupling</t>
        </is>
      </c>
      <c r="I68" s="4" t="inlineStr">
        <is>
          <t>29 - Cleaning guns for lance mounting.pdf</t>
        </is>
      </c>
      <c r="J68" s="4" t="inlineStr">
        <is>
          <t>Confirmed</t>
        </is>
      </c>
      <c r="K68" s="4" t="n"/>
    </row>
    <row r="69">
      <c r="A69" s="4" t="inlineStr">
        <is>
          <t>Washdown / cleaning equipment</t>
        </is>
      </c>
      <c r="B69" s="4" t="inlineStr">
        <is>
          <t>KLMLCP2-B</t>
        </is>
      </c>
      <c r="C69" s="4" t="inlineStr">
        <is>
          <t>WD-KLMLCP2-B</t>
        </is>
      </c>
      <c r="D69" s="4" t="inlineStr">
        <is>
          <t>Cleaning gun for lance mounting</t>
        </is>
      </c>
      <c r="E69" s="4" t="inlineStr">
        <is>
          <t>quick coupling outlet</t>
        </is>
      </c>
      <c r="F69" s="4" t="inlineStr">
        <is>
          <t>Brass</t>
        </is>
      </c>
      <c r="G69" s="4" t="inlineStr">
        <is>
          <t>with quick-release coupling</t>
        </is>
      </c>
      <c r="H69" s="4" t="inlineStr">
        <is>
          <t>Cleaning gun for lance mounting, quick coupling outlet, Brass, with quick-release coupling</t>
        </is>
      </c>
      <c r="I69" s="4" t="inlineStr">
        <is>
          <t>29 - Cleaning guns for lance mounting.pdf</t>
        </is>
      </c>
      <c r="J69" s="4" t="inlineStr">
        <is>
          <t>Confirmed</t>
        </is>
      </c>
      <c r="K69" s="4" t="n"/>
    </row>
    <row r="70">
      <c r="A70" s="4" t="inlineStr">
        <is>
          <t>Washdown / cleaning equipment</t>
        </is>
      </c>
      <c r="B70" s="4" t="inlineStr">
        <is>
          <t>BABTLF1-B-V</t>
        </is>
      </c>
      <c r="C70" s="4" t="inlineStr">
        <is>
          <t>WD-BABTLF1-B-V</t>
        </is>
      </c>
      <c r="D70" s="4" t="inlineStr">
        <is>
          <t>Baby series gun for lance mounting</t>
        </is>
      </c>
      <c r="E70" s="4" t="inlineStr">
        <is>
          <t>1/2" BSP female outlet and inlet</t>
        </is>
      </c>
      <c r="F70" s="4" t="inlineStr">
        <is>
          <t>Aluminium</t>
        </is>
      </c>
      <c r="G70" s="4" t="inlineStr">
        <is>
          <t>blue, Viton seals</t>
        </is>
      </c>
      <c r="H70" s="4" t="inlineStr">
        <is>
          <t>Baby series gun for lance mounting, 1/2" BSP female outlet and inlet, Aluminium, blue, Viton seals</t>
        </is>
      </c>
      <c r="I70" s="4" t="inlineStr">
        <is>
          <t>31 - Cleaning guns for lance mounting, Baby series.pdf</t>
        </is>
      </c>
      <c r="J70" s="4" t="inlineStr">
        <is>
          <t>Confirmed</t>
        </is>
      </c>
      <c r="K70" s="4" t="n"/>
    </row>
    <row r="71">
      <c r="A71" s="34" t="inlineStr">
        <is>
          <t>Washdown / cleaning equipment</t>
        </is>
      </c>
      <c r="B71" s="34" t="inlineStr">
        <is>
          <t>BABTLF1-BL</t>
        </is>
      </c>
      <c r="C71" s="34" t="inlineStr">
        <is>
          <t>WD-BABTLF1-BL</t>
        </is>
      </c>
      <c r="D71" s="34" t="inlineStr">
        <is>
          <t>Baby series gun for lance mounting</t>
        </is>
      </c>
      <c r="E71" s="34" t="inlineStr">
        <is>
          <t>1/2" BSP female outlet and inlet</t>
        </is>
      </c>
      <c r="F71" s="34" t="inlineStr">
        <is>
          <t>Aluminium</t>
        </is>
      </c>
      <c r="G71" s="34" t="inlineStr">
        <is>
          <t>black</t>
        </is>
      </c>
      <c r="H71" s="34" t="inlineStr">
        <is>
          <t>Baby series gun for lance mounting, 1/2" BSP female outlet and inlet, Aluminium, black</t>
        </is>
      </c>
      <c r="I71" s="34" t="inlineStr">
        <is>
          <t>31 - Cleaning guns for lance mounting, Baby series.pdf</t>
        </is>
      </c>
      <c r="J71" s="34" t="inlineStr">
        <is>
          <t>Needs review</t>
        </is>
      </c>
      <c r="K71" s="34" t="inlineStr">
        <is>
          <t>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72">
      <c r="A72" s="4" t="inlineStr">
        <is>
          <t>Washdown / cleaning equipment</t>
        </is>
      </c>
      <c r="B72" s="4" t="inlineStr">
        <is>
          <t>BMBNN01-B</t>
        </is>
      </c>
      <c r="C72" s="4" t="inlineStr">
        <is>
          <t>WD-BMBNN01-B</t>
        </is>
      </c>
      <c r="D72" s="4" t="inlineStr">
        <is>
          <t>Baby series gun for lance mounting</t>
        </is>
      </c>
      <c r="E72" s="4" t="inlineStr">
        <is>
          <t>1/2" BSP male outlet, 1/2" BSP female inlet</t>
        </is>
      </c>
      <c r="F72" s="4" t="inlineStr">
        <is>
          <t>Brass HPb59-3</t>
        </is>
      </c>
      <c r="G72" s="4" t="inlineStr">
        <is>
          <t>blue, with nozzle</t>
        </is>
      </c>
      <c r="H72" s="4" t="inlineStr">
        <is>
          <t>Baby series gun for lance mounting, 1/2" BSP male outlet, 1/2" BSP female inlet, Brass HPb59-3, blue, with nozzle</t>
        </is>
      </c>
      <c r="I72" s="4" t="inlineStr">
        <is>
          <t>31 - Cleaning guns for lance mounting, Baby series.pdf</t>
        </is>
      </c>
      <c r="J72" s="4" t="inlineStr">
        <is>
          <t>Confirmed</t>
        </is>
      </c>
      <c r="K72" s="4" t="n"/>
    </row>
    <row r="73">
      <c r="A73" s="4" t="inlineStr">
        <is>
          <t>Washdown / cleaning equipment</t>
        </is>
      </c>
      <c r="B73" s="4" t="inlineStr">
        <is>
          <t>AKMSHL1-B</t>
        </is>
      </c>
      <c r="C73" s="4" t="inlineStr">
        <is>
          <t>WD-MSHL1-B</t>
        </is>
      </c>
      <c r="D73" s="4" t="inlineStr">
        <is>
          <t>Water-saving spray head</t>
        </is>
      </c>
      <c r="E73" s="4" t="inlineStr">
        <is>
          <t>with handle, head 1/2" BSPP male, grip 1/2" BSPP female</t>
        </is>
      </c>
      <c r="F73" s="4" t="inlineStr">
        <is>
          <t>Brass HPb59-3 and POM (head), EPDM (grip)</t>
        </is>
      </c>
      <c r="G73" s="4" t="inlineStr">
        <is>
          <t>blue grip (GRIPML1-B)</t>
        </is>
      </c>
      <c r="H73" s="4" t="inlineStr">
        <is>
          <t>Water-saving spray head, with handle, head 1/2" BSPP male, grip 1/2" BSPP female, Brass HPb59-3 and POM (head), EPDM (grip), blue grip (GRIPML1-B)</t>
        </is>
      </c>
      <c r="I73" s="4" t="inlineStr">
        <is>
          <t>44 - Water-saving spray head.pdf</t>
        </is>
      </c>
      <c r="J73" s="4" t="inlineStr">
        <is>
          <t>Confirmed</t>
        </is>
      </c>
      <c r="K73" s="4" t="n"/>
    </row>
    <row r="74">
      <c r="A74" s="4" t="inlineStr">
        <is>
          <t>Washdown / cleaning equipment</t>
        </is>
      </c>
      <c r="B74" s="4" t="inlineStr">
        <is>
          <t>AKRSHL1-B</t>
        </is>
      </c>
      <c r="C74" s="4" t="inlineStr">
        <is>
          <t>WD-RSHL1-B</t>
        </is>
      </c>
      <c r="D74" s="4" t="inlineStr">
        <is>
          <t>Water-saving spray head</t>
        </is>
      </c>
      <c r="E74" s="4" t="inlineStr">
        <is>
          <t>with handle, head 1/2" BSPP male, grip 1/2" BSPP female</t>
        </is>
      </c>
      <c r="F74" s="4" t="inlineStr">
        <is>
          <t>Stainless steel AISI 304 and POM (head), EPDM (grip)</t>
        </is>
      </c>
      <c r="G74" s="4" t="inlineStr">
        <is>
          <t>blue grip (GRIPRL1-B)</t>
        </is>
      </c>
      <c r="H74" s="4" t="inlineStr">
        <is>
          <t>Water-saving spray head, with handle, head 1/2" BSPP male, grip 1/2" BSPP female, Stainless steel AISI 304 and POM (head), EPDM (grip), blue grip (GRIPRL1-B)</t>
        </is>
      </c>
      <c r="I74" s="4" t="inlineStr">
        <is>
          <t>44 - Water-saving spray head.pdf</t>
        </is>
      </c>
      <c r="J74" s="4" t="inlineStr">
        <is>
          <t>Confirmed</t>
        </is>
      </c>
      <c r="K74" s="4" t="n"/>
    </row>
    <row r="75">
      <c r="A75" s="34" t="inlineStr">
        <is>
          <t>Washdown / cleaning equipment</t>
        </is>
      </c>
      <c r="B75" s="34" t="inlineStr">
        <is>
          <t>AKMSHHL1-BL</t>
        </is>
      </c>
      <c r="C75" s="34" t="inlineStr">
        <is>
          <t>WD-MSHHL1-BL</t>
        </is>
      </c>
      <c r="D75" s="34" t="inlineStr">
        <is>
          <t>Water-saving spray head</t>
        </is>
      </c>
      <c r="E75" s="34" t="inlineStr">
        <is>
          <t>head only, 1/2" BSPP male</t>
        </is>
      </c>
      <c r="F75" s="34" t="inlineStr">
        <is>
          <t>Brass HPb59-3 and POM</t>
        </is>
      </c>
      <c r="G75" s="34" t="inlineStr">
        <is>
          <t>black, head only</t>
        </is>
      </c>
      <c r="H75" s="34" t="inlineStr">
        <is>
          <t>Water-saving spray head, head only, 1/2" BSPP male, Brass HPb59-3 and POM, black, head only</t>
        </is>
      </c>
      <c r="I75" s="34" t="inlineStr">
        <is>
          <t>44 - Water-saving spray head.pdf</t>
        </is>
      </c>
      <c r="J75" s="34" t="inlineStr">
        <is>
          <t>Needs review</t>
        </is>
      </c>
      <c r="K75" s="34" t="inlineStr">
        <is>
          <t>Technical-data table only lists dimensions/weight for the with-handle assemblies (AKMSHL1-B/AKRSHL1-B) - head-only weight not separately tabulated on this page</t>
        </is>
      </c>
    </row>
    <row r="76">
      <c r="A76" s="34" t="inlineStr">
        <is>
          <t>Washdown / cleaning equipment</t>
        </is>
      </c>
      <c r="B76" s="34" t="inlineStr">
        <is>
          <t>AKRSHHL1-BL</t>
        </is>
      </c>
      <c r="C76" s="34" t="inlineStr">
        <is>
          <t>WD-RSHHL1-BL</t>
        </is>
      </c>
      <c r="D76" s="34" t="inlineStr">
        <is>
          <t>Water-saving spray head</t>
        </is>
      </c>
      <c r="E76" s="34" t="inlineStr">
        <is>
          <t>head only, 1/2" BSPP male</t>
        </is>
      </c>
      <c r="F76" s="34" t="inlineStr">
        <is>
          <t>Stainless steel AISI 304 and POM</t>
        </is>
      </c>
      <c r="G76" s="34" t="inlineStr">
        <is>
          <t>black, head only</t>
        </is>
      </c>
      <c r="H76" s="34" t="inlineStr">
        <is>
          <t>Water-saving spray head, head only, 1/2" BSPP male, Stainless steel AISI 304 and POM, black, head only</t>
        </is>
      </c>
      <c r="I76" s="34" t="inlineStr">
        <is>
          <t>44 - Water-saving spray head.pdf</t>
        </is>
      </c>
      <c r="J76" s="34" t="inlineStr">
        <is>
          <t>Needs review</t>
        </is>
      </c>
      <c r="K76" s="34" t="inlineStr">
        <is>
          <t>Technical-data table only lists dimensions/weight for the with-handle assemblies - head-only weight not separately tabulated on this page</t>
        </is>
      </c>
    </row>
    <row r="77">
      <c r="A77" s="4" t="inlineStr">
        <is>
          <t>Washdown / cleaning equipment</t>
        </is>
      </c>
      <c r="B77" s="4" t="inlineStr">
        <is>
          <t>AKMSH03-B</t>
        </is>
      </c>
      <c r="C77" s="4" t="inlineStr">
        <is>
          <t>WD-MSH03-B</t>
        </is>
      </c>
      <c r="D77" s="4" t="inlineStr">
        <is>
          <t>Robust spray head</t>
        </is>
      </c>
      <c r="E77" s="4" t="inlineStr">
        <is>
          <t>with handle, 1/2" BSP female</t>
        </is>
      </c>
      <c r="F77" s="4" t="inlineStr">
        <is>
          <t>Brass interior, POM housing</t>
        </is>
      </c>
      <c r="G77" s="4" t="inlineStr">
        <is>
          <t>blue</t>
        </is>
      </c>
      <c r="H77" s="4" t="inlineStr">
        <is>
          <t>Robust spray head, with handle, 1/2" BSP female, Brass interior, POM housing, blue</t>
        </is>
      </c>
      <c r="I77" s="4" t="inlineStr">
        <is>
          <t>45 - Robust spray head.pdf</t>
        </is>
      </c>
      <c r="J77" s="4" t="inlineStr">
        <is>
          <t>Confirmed</t>
        </is>
      </c>
      <c r="K77" s="4" t="n"/>
    </row>
    <row r="78">
      <c r="A78" s="4" t="inlineStr">
        <is>
          <t>Washdown / cleaning equipment</t>
        </is>
      </c>
      <c r="B78" s="4" t="inlineStr">
        <is>
          <t>AKMSH03-R</t>
        </is>
      </c>
      <c r="C78" s="4" t="inlineStr">
        <is>
          <t>WD-MSH03-R</t>
        </is>
      </c>
      <c r="D78" s="4" t="inlineStr">
        <is>
          <t>Robust spray head</t>
        </is>
      </c>
      <c r="E78" s="4" t="inlineStr">
        <is>
          <t>with handle, 1/2" BSP female</t>
        </is>
      </c>
      <c r="F78" s="4" t="inlineStr">
        <is>
          <t>Brass interior, POM housing</t>
        </is>
      </c>
      <c r="G78" s="4" t="inlineStr">
        <is>
          <t>red</t>
        </is>
      </c>
      <c r="H78" s="4" t="inlineStr">
        <is>
          <t>Robust spray head, with handle, 1/2" BSP female, Brass interior, POM housing, red</t>
        </is>
      </c>
      <c r="I78" s="4" t="inlineStr">
        <is>
          <t>45 - Robust spray head.pdf</t>
        </is>
      </c>
      <c r="J78" s="4" t="inlineStr">
        <is>
          <t>Confirmed</t>
        </is>
      </c>
      <c r="K78" s="4" t="n"/>
    </row>
    <row r="79">
      <c r="A79" s="4" t="inlineStr">
        <is>
          <t>Washdown / cleaning equipment</t>
        </is>
      </c>
      <c r="B79" s="4" t="inlineStr">
        <is>
          <t>AKMSH03-W</t>
        </is>
      </c>
      <c r="C79" s="4" t="inlineStr">
        <is>
          <t>WD-MSH03-W</t>
        </is>
      </c>
      <c r="D79" s="4" t="inlineStr">
        <is>
          <t>Robust spray head</t>
        </is>
      </c>
      <c r="E79" s="4" t="inlineStr">
        <is>
          <t>with handle, 1/2" BSP female</t>
        </is>
      </c>
      <c r="F79" s="4" t="inlineStr">
        <is>
          <t>Brass interior, POM housing</t>
        </is>
      </c>
      <c r="G79" s="4" t="inlineStr">
        <is>
          <t>white</t>
        </is>
      </c>
      <c r="H79" s="4" t="inlineStr">
        <is>
          <t>Robust spray head, with handle, 1/2" BSP female, Brass interior, POM housing, white</t>
        </is>
      </c>
      <c r="I79" s="4" t="inlineStr">
        <is>
          <t>45 - Robust spray head.pdf</t>
        </is>
      </c>
      <c r="J79" s="4" t="inlineStr">
        <is>
          <t>Confirmed</t>
        </is>
      </c>
      <c r="K79" s="4" t="n"/>
    </row>
    <row r="80">
      <c r="A80" s="4" t="inlineStr">
        <is>
          <t>Washdown / cleaning equipment</t>
        </is>
      </c>
      <c r="B80" s="4" t="inlineStr">
        <is>
          <t>AKMSHH4-BL</t>
        </is>
      </c>
      <c r="C80" s="4" t="inlineStr">
        <is>
          <t>WD-MSHH4-BL</t>
        </is>
      </c>
      <c r="D80" s="4" t="inlineStr">
        <is>
          <t>Robust spray head</t>
        </is>
      </c>
      <c r="E80" s="4" t="inlineStr">
        <is>
          <t>head only, 1/2" BSP male</t>
        </is>
      </c>
      <c r="F80" s="4" t="inlineStr">
        <is>
          <t>Brass interior, POM housing</t>
        </is>
      </c>
      <c r="G80" s="4" t="inlineStr">
        <is>
          <t>black, head only</t>
        </is>
      </c>
      <c r="H80" s="4" t="inlineStr">
        <is>
          <t>Robust spray head, head only, 1/2" BSP male, Brass interior, POM housing, black, head only</t>
        </is>
      </c>
      <c r="I80" s="4" t="inlineStr">
        <is>
          <t>45 - Robust spray head.pdf</t>
        </is>
      </c>
      <c r="J80" s="4" t="inlineStr">
        <is>
          <t>Confirmed</t>
        </is>
      </c>
      <c r="K80" s="4" t="n"/>
    </row>
    <row r="81">
      <c r="A81" s="4" t="inlineStr">
        <is>
          <t>Washdown / cleaning equipment</t>
        </is>
      </c>
      <c r="B81" s="4" t="inlineStr">
        <is>
          <t>AKRSH03-B</t>
        </is>
      </c>
      <c r="C81" s="4" t="inlineStr">
        <is>
          <t>WD-RSH03-B</t>
        </is>
      </c>
      <c r="D81" s="4" t="inlineStr">
        <is>
          <t>Robust spray head</t>
        </is>
      </c>
      <c r="E81" s="4" t="inlineStr">
        <is>
          <t>with handle, 1/2" BSP female</t>
        </is>
      </c>
      <c r="F81" s="4" t="inlineStr">
        <is>
          <t>Stainless steel AISI 304 interior, POM housing</t>
        </is>
      </c>
      <c r="G81" s="4" t="inlineStr">
        <is>
          <t>blue</t>
        </is>
      </c>
      <c r="H81" s="4" t="inlineStr">
        <is>
          <t>Robust spray head, with handle, 1/2" BSP female, Stainless steel AISI 304 interior, POM housing, blue</t>
        </is>
      </c>
      <c r="I81" s="4" t="inlineStr">
        <is>
          <t>45 - Robust spray head.pdf</t>
        </is>
      </c>
      <c r="J81" s="4" t="inlineStr">
        <is>
          <t>Confirmed</t>
        </is>
      </c>
      <c r="K81" s="4" t="n"/>
    </row>
    <row r="82">
      <c r="A82" s="4" t="inlineStr">
        <is>
          <t>Washdown / cleaning equipment</t>
        </is>
      </c>
      <c r="B82" s="4" t="inlineStr">
        <is>
          <t>AKRSH03-R</t>
        </is>
      </c>
      <c r="C82" s="4" t="inlineStr">
        <is>
          <t>WD-RSH03-R</t>
        </is>
      </c>
      <c r="D82" s="4" t="inlineStr">
        <is>
          <t>Robust spray head</t>
        </is>
      </c>
      <c r="E82" s="4" t="inlineStr">
        <is>
          <t>with handle, 1/2" BSP female</t>
        </is>
      </c>
      <c r="F82" s="4" t="inlineStr">
        <is>
          <t>Stainless steel AISI 304 interior, POM housing</t>
        </is>
      </c>
      <c r="G82" s="4" t="inlineStr">
        <is>
          <t>red</t>
        </is>
      </c>
      <c r="H82" s="4" t="inlineStr">
        <is>
          <t>Robust spray head, with handle, 1/2" BSP female, Stainless steel AISI 304 interior, POM housing, red</t>
        </is>
      </c>
      <c r="I82" s="4" t="inlineStr">
        <is>
          <t>45 - Robust spray head.pdf</t>
        </is>
      </c>
      <c r="J82" s="4" t="inlineStr">
        <is>
          <t>Confirmed</t>
        </is>
      </c>
      <c r="K82" s="4" t="n"/>
    </row>
    <row r="83">
      <c r="A83" s="34" t="inlineStr">
        <is>
          <t>Washdown / cleaning equipment</t>
        </is>
      </c>
      <c r="B83" s="34" t="inlineStr">
        <is>
          <t>AKRSHW3-W</t>
        </is>
      </c>
      <c r="C83" s="34" t="inlineStr">
        <is>
          <t>WD-RSHW3-W</t>
        </is>
      </c>
      <c r="D83" s="34" t="inlineStr">
        <is>
          <t>Robust spray head</t>
        </is>
      </c>
      <c r="E83" s="34" t="inlineStr">
        <is>
          <t>with handle, 1/2" BSP female</t>
        </is>
      </c>
      <c r="F83" s="34" t="inlineStr">
        <is>
          <t>Stainless steel AISI 304 interior, POM housing</t>
        </is>
      </c>
      <c r="G83" s="34" t="inlineStr">
        <is>
          <t>white</t>
        </is>
      </c>
      <c r="H83" s="34" t="inlineStr">
        <is>
          <t>Robust spray head, with handle, 1/2" BSP female, Stainless steel AISI 304 interior, POM housing, white</t>
        </is>
      </c>
      <c r="I83" s="34" t="inlineStr">
        <is>
          <t>45 - Robust spray head.pdf</t>
        </is>
      </c>
      <c r="J83" s="34" t="inlineStr">
        <is>
          <t>Needs review</t>
        </is>
      </c>
      <c r="K83" s="34" t="inlineStr">
        <is>
          <t>Part number breaks the "03" pattern of its blue/red siblings (AKRSH03-B/R) - consistently printed as AKRSHW3-W in both body text and image caption, so likely intentional, but worth confirming with AKBO</t>
        </is>
      </c>
    </row>
    <row r="84">
      <c r="A84" s="4" t="inlineStr">
        <is>
          <t>Washdown / cleaning equipment</t>
        </is>
      </c>
      <c r="B84" s="4" t="inlineStr">
        <is>
          <t>AKRSHH4-BL</t>
        </is>
      </c>
      <c r="C84" s="4" t="inlineStr">
        <is>
          <t>WD-RSHH4-BL</t>
        </is>
      </c>
      <c r="D84" s="4" t="inlineStr">
        <is>
          <t>Robust spray head</t>
        </is>
      </c>
      <c r="E84" s="4" t="inlineStr">
        <is>
          <t>head only, 1/2" BSP male</t>
        </is>
      </c>
      <c r="F84" s="4" t="inlineStr">
        <is>
          <t>Stainless steel AISI 304 interior, POM housing</t>
        </is>
      </c>
      <c r="G84" s="4" t="inlineStr">
        <is>
          <t>black, head only</t>
        </is>
      </c>
      <c r="H84" s="4" t="inlineStr">
        <is>
          <t>Robust spray head, head only, 1/2" BSP male, Stainless steel AISI 304 interior, POM housing, black, head only</t>
        </is>
      </c>
      <c r="I84" s="4" t="inlineStr">
        <is>
          <t>45 - Robust spray head.pdf</t>
        </is>
      </c>
      <c r="J84" s="4" t="inlineStr">
        <is>
          <t>Confirmed</t>
        </is>
      </c>
      <c r="K84" s="4" t="inlineStr">
        <is>
          <t>AKRSHH4 series complies with EC 2023/2006 and EC 1935/2004 art. 3 (food-safe)</t>
        </is>
      </c>
    </row>
    <row r="85">
      <c r="A85" s="4" t="inlineStr">
        <is>
          <t>Washdown / cleaning equipment</t>
        </is>
      </c>
      <c r="B85" s="4" t="inlineStr">
        <is>
          <t>AKRSHH4-W</t>
        </is>
      </c>
      <c r="C85" s="4" t="inlineStr">
        <is>
          <t>WD-RSHH4-W</t>
        </is>
      </c>
      <c r="D85" s="4" t="inlineStr">
        <is>
          <t>Robust spray head</t>
        </is>
      </c>
      <c r="E85" s="4" t="inlineStr">
        <is>
          <t>head only, 1/2" BSP male</t>
        </is>
      </c>
      <c r="F85" s="4" t="inlineStr">
        <is>
          <t>Stainless steel AISI 304 interior, POM housing</t>
        </is>
      </c>
      <c r="G85" s="4" t="inlineStr">
        <is>
          <t>white, head only</t>
        </is>
      </c>
      <c r="H85" s="4" t="inlineStr">
        <is>
          <t>Robust spray head, head only, 1/2" BSP male, Stainless steel AISI 304 interior, POM housing, white, head only</t>
        </is>
      </c>
      <c r="I85" s="4" t="inlineStr">
        <is>
          <t>45 - Robust spray head.pdf</t>
        </is>
      </c>
      <c r="J85" s="4" t="inlineStr">
        <is>
          <t>Confirmed</t>
        </is>
      </c>
      <c r="K85" s="4" t="inlineStr">
        <is>
          <t>AKRSHH4 series complies with EC 2023/2006 and EC 1935/2004 art. 3 (food-safe)</t>
        </is>
      </c>
    </row>
    <row r="86">
      <c r="A86" s="4" t="inlineStr">
        <is>
          <t>Washdown / cleaning equipment</t>
        </is>
      </c>
      <c r="B86" s="4" t="inlineStr">
        <is>
          <t>GRIP-M01-B</t>
        </is>
      </c>
      <c r="C86" s="4" t="inlineStr">
        <is>
          <t>WD-GRIP-M01-B</t>
        </is>
      </c>
      <c r="D86" s="4" t="inlineStr">
        <is>
          <t>Handle</t>
        </is>
      </c>
      <c r="E86" s="4" t="inlineStr">
        <is>
          <t>2x 1/2" BSP female, 105 x 44mm</t>
        </is>
      </c>
      <c r="F86" s="4" t="inlineStr">
        <is>
          <t>Brass</t>
        </is>
      </c>
      <c r="G86" s="4" t="inlineStr">
        <is>
          <t>blue</t>
        </is>
      </c>
      <c r="H86" s="4" t="inlineStr">
        <is>
          <t>Handle, 2x 1/2" BSP female, 105 x 44mm, Brass, blue</t>
        </is>
      </c>
      <c r="I86" s="4" t="inlineStr">
        <is>
          <t>46 - Handles in brass or stainless steel.pdf</t>
        </is>
      </c>
      <c r="J86" s="4" t="inlineStr">
        <is>
          <t>Confirmed</t>
        </is>
      </c>
      <c r="K86" s="4" t="inlineStr">
        <is>
          <t>Accessory - pairs with AKMSH03-/AKRSH03- series robust spray heads</t>
        </is>
      </c>
    </row>
    <row r="87">
      <c r="A87" s="4" t="inlineStr">
        <is>
          <t>Washdown / cleaning equipment</t>
        </is>
      </c>
      <c r="B87" s="4" t="inlineStr">
        <is>
          <t>GRIP-M01-W</t>
        </is>
      </c>
      <c r="C87" s="4" t="inlineStr">
        <is>
          <t>WD-GRIP-M01-W</t>
        </is>
      </c>
      <c r="D87" s="4" t="inlineStr">
        <is>
          <t>Handle</t>
        </is>
      </c>
      <c r="E87" s="4" t="inlineStr">
        <is>
          <t>2x 1/2" BSP female, 105 x 44mm</t>
        </is>
      </c>
      <c r="F87" s="4" t="inlineStr">
        <is>
          <t>Brass</t>
        </is>
      </c>
      <c r="G87" s="4" t="inlineStr">
        <is>
          <t>white</t>
        </is>
      </c>
      <c r="H87" s="4" t="inlineStr">
        <is>
          <t>Handle, 2x 1/2" BSP female, 105 x 44mm, Brass, white</t>
        </is>
      </c>
      <c r="I87" s="4" t="inlineStr">
        <is>
          <t>46 - Handles in brass or stainless steel.pdf</t>
        </is>
      </c>
      <c r="J87" s="4" t="inlineStr">
        <is>
          <t>Confirmed</t>
        </is>
      </c>
      <c r="K87" s="4" t="inlineStr">
        <is>
          <t>Accessory - pairs with AKMSH03-/AKRSH03- series robust spray heads</t>
        </is>
      </c>
    </row>
    <row r="88">
      <c r="A88" s="4" t="inlineStr">
        <is>
          <t>Washdown / cleaning equipment</t>
        </is>
      </c>
      <c r="B88" s="4" t="inlineStr">
        <is>
          <t>GRIP-M01-R</t>
        </is>
      </c>
      <c r="C88" s="4" t="inlineStr">
        <is>
          <t>WD-GRIP-M01-R</t>
        </is>
      </c>
      <c r="D88" s="4" t="inlineStr">
        <is>
          <t>Handle</t>
        </is>
      </c>
      <c r="E88" s="4" t="inlineStr">
        <is>
          <t>2x 1/2" BSP female, 105 x 44mm</t>
        </is>
      </c>
      <c r="F88" s="4" t="inlineStr">
        <is>
          <t>Brass</t>
        </is>
      </c>
      <c r="G88" s="4" t="inlineStr">
        <is>
          <t>red</t>
        </is>
      </c>
      <c r="H88" s="4" t="inlineStr">
        <is>
          <t>Handle, 2x 1/2" BSP female, 105 x 44mm, Brass, red</t>
        </is>
      </c>
      <c r="I88" s="4" t="inlineStr">
        <is>
          <t>46 - Handles in brass or stainless steel.pdf</t>
        </is>
      </c>
      <c r="J88" s="4" t="inlineStr">
        <is>
          <t>Confirmed</t>
        </is>
      </c>
      <c r="K88" s="4" t="inlineStr">
        <is>
          <t>Accessory - pairs with AKMSH03-/AKRSH03- series robust spray heads</t>
        </is>
      </c>
    </row>
    <row r="89">
      <c r="A89" s="4" t="inlineStr">
        <is>
          <t>Washdown / cleaning equipment</t>
        </is>
      </c>
      <c r="B89" s="4" t="inlineStr">
        <is>
          <t>GRIP-R01-B</t>
        </is>
      </c>
      <c r="C89" s="4" t="inlineStr">
        <is>
          <t>WD-GRIP-R01-B</t>
        </is>
      </c>
      <c r="D89" s="4" t="inlineStr">
        <is>
          <t>Handle</t>
        </is>
      </c>
      <c r="E89" s="4" t="inlineStr">
        <is>
          <t>2x 1/2" BSP female, 105 x 44mm</t>
        </is>
      </c>
      <c r="F89" s="4" t="inlineStr">
        <is>
          <t>Stainless steel</t>
        </is>
      </c>
      <c r="G89" s="4" t="inlineStr">
        <is>
          <t>blue</t>
        </is>
      </c>
      <c r="H89" s="4" t="inlineStr">
        <is>
          <t>Handle, 2x 1/2" BSP female, 105 x 44mm, Stainless steel, blue</t>
        </is>
      </c>
      <c r="I89" s="4" t="inlineStr">
        <is>
          <t>46 - Handles in brass or stainless steel.pdf</t>
        </is>
      </c>
      <c r="J89" s="4" t="inlineStr">
        <is>
          <t>Confirmed</t>
        </is>
      </c>
      <c r="K89" s="4" t="inlineStr">
        <is>
          <t>Accessory - pairs with AKMSH03-/AKRSH03- series robust spray heads</t>
        </is>
      </c>
    </row>
    <row r="90">
      <c r="A90" s="4" t="inlineStr">
        <is>
          <t>Washdown / cleaning equipment</t>
        </is>
      </c>
      <c r="B90" s="4" t="inlineStr">
        <is>
          <t>GRIP-R01-W</t>
        </is>
      </c>
      <c r="C90" s="4" t="inlineStr">
        <is>
          <t>WD-GRIP-R01-W</t>
        </is>
      </c>
      <c r="D90" s="4" t="inlineStr">
        <is>
          <t>Handle</t>
        </is>
      </c>
      <c r="E90" s="4" t="inlineStr">
        <is>
          <t>2x 1/2" BSP female, 105 x 44mm</t>
        </is>
      </c>
      <c r="F90" s="4" t="inlineStr">
        <is>
          <t>Stainless steel</t>
        </is>
      </c>
      <c r="G90" s="4" t="inlineStr">
        <is>
          <t>white</t>
        </is>
      </c>
      <c r="H90" s="4" t="inlineStr">
        <is>
          <t>Handle, 2x 1/2" BSP female, 105 x 44mm, Stainless steel, white</t>
        </is>
      </c>
      <c r="I90" s="4" t="inlineStr">
        <is>
          <t>46 - Handles in brass or stainless steel.pdf</t>
        </is>
      </c>
      <c r="J90" s="4" t="inlineStr">
        <is>
          <t>Confirmed</t>
        </is>
      </c>
      <c r="K90" s="4" t="inlineStr">
        <is>
          <t>Accessory - pairs with AKMSH03-/AKRSH03- series robust spray heads</t>
        </is>
      </c>
    </row>
    <row r="91">
      <c r="A91" s="4" t="inlineStr">
        <is>
          <t>Washdown / cleaning equipment</t>
        </is>
      </c>
      <c r="B91" s="4" t="inlineStr">
        <is>
          <t>GRIP-R01-R</t>
        </is>
      </c>
      <c r="C91" s="4" t="inlineStr">
        <is>
          <t>WD-GRIP-R01-R</t>
        </is>
      </c>
      <c r="D91" s="4" t="inlineStr">
        <is>
          <t>Handle</t>
        </is>
      </c>
      <c r="E91" s="4" t="inlineStr">
        <is>
          <t>2x 1/2" BSP female, 105 x 44mm</t>
        </is>
      </c>
      <c r="F91" s="4" t="inlineStr">
        <is>
          <t>Stainless steel</t>
        </is>
      </c>
      <c r="G91" s="4" t="inlineStr">
        <is>
          <t>red</t>
        </is>
      </c>
      <c r="H91" s="4" t="inlineStr">
        <is>
          <t>Handle, 2x 1/2" BSP female, 105 x 44mm, Stainless steel, red</t>
        </is>
      </c>
      <c r="I91" s="4" t="inlineStr">
        <is>
          <t>46 - Handles in brass or stainless steel.pdf</t>
        </is>
      </c>
      <c r="J91" s="4" t="inlineStr">
        <is>
          <t>Confirmed</t>
        </is>
      </c>
      <c r="K91" s="4" t="inlineStr">
        <is>
          <t>Accessory - pairs with AKMSH03-/AKRSH03- series robust spray heads</t>
        </is>
      </c>
    </row>
    <row r="92">
      <c r="A92" s="4" t="inlineStr">
        <is>
          <t>Washdown / cleaning equipment</t>
        </is>
      </c>
      <c r="B92" s="4" t="inlineStr">
        <is>
          <t>GRIP-ML1-B</t>
        </is>
      </c>
      <c r="C92" s="4" t="inlineStr">
        <is>
          <t>WD-GRIP-ML1-B</t>
        </is>
      </c>
      <c r="D92" s="4" t="inlineStr">
        <is>
          <t>Handle, long version</t>
        </is>
      </c>
      <c r="E92" s="4" t="inlineStr">
        <is>
          <t>2x 1/2" BSP female, 115 x 44mm</t>
        </is>
      </c>
      <c r="F92" s="4" t="inlineStr">
        <is>
          <t>Brass</t>
        </is>
      </c>
      <c r="G92" s="4" t="inlineStr">
        <is>
          <t>blue</t>
        </is>
      </c>
      <c r="H92" s="4" t="inlineStr">
        <is>
          <t>Handle, long version, 2x 1/2" BSP female, 115 x 44mm, Brass, blue</t>
        </is>
      </c>
      <c r="I92" s="4" t="inlineStr">
        <is>
          <t>46 - Handles in brass or stainless steel.pdf</t>
        </is>
      </c>
      <c r="J92" s="4" t="inlineStr">
        <is>
          <t>Confirmed</t>
        </is>
      </c>
      <c r="K92" s="4" t="inlineStr">
        <is>
          <t>Accessory - pairs with AKMSHL1-B/AKRSHL1-B water-saving spray heads</t>
        </is>
      </c>
    </row>
    <row r="93">
      <c r="A93" s="4" t="inlineStr">
        <is>
          <t>Washdown / cleaning equipment</t>
        </is>
      </c>
      <c r="B93" s="4" t="inlineStr">
        <is>
          <t>GRIP-RL1-B</t>
        </is>
      </c>
      <c r="C93" s="4" t="inlineStr">
        <is>
          <t>WD-GRIP-RL1-B</t>
        </is>
      </c>
      <c r="D93" s="4" t="inlineStr">
        <is>
          <t>Handle, long version</t>
        </is>
      </c>
      <c r="E93" s="4" t="inlineStr">
        <is>
          <t>2x 1/2" BSP female, 115 x 44mm</t>
        </is>
      </c>
      <c r="F93" s="4" t="inlineStr">
        <is>
          <t>Stainless steel</t>
        </is>
      </c>
      <c r="G93" s="4" t="inlineStr">
        <is>
          <t>blue</t>
        </is>
      </c>
      <c r="H93" s="4" t="inlineStr">
        <is>
          <t>Handle, long version, 2x 1/2" BSP female, 115 x 44mm, Stainless steel, blue</t>
        </is>
      </c>
      <c r="I93" s="4" t="inlineStr">
        <is>
          <t>46 - Handles in brass or stainless steel.pdf</t>
        </is>
      </c>
      <c r="J93" s="4" t="inlineStr">
        <is>
          <t>Confirmed</t>
        </is>
      </c>
      <c r="K93" s="4" t="inlineStr">
        <is>
          <t>Accessory - pairs with AKMSHL1-B/AKRSHL1-B water-saving spray heads</t>
        </is>
      </c>
    </row>
    <row r="94">
      <c r="A94" s="4" t="inlineStr">
        <is>
          <t>Washdown / cleaning equipment</t>
        </is>
      </c>
      <c r="B94" s="4" t="inlineStr">
        <is>
          <t>AKNSH01-B</t>
        </is>
      </c>
      <c r="C94" s="4" t="inlineStr">
        <is>
          <t>WD-NSH01-B</t>
        </is>
      </c>
      <c r="D94" s="4" t="inlineStr">
        <is>
          <t>Lightweight spray head</t>
        </is>
      </c>
      <c r="E94" s="4" t="inlineStr">
        <is>
          <t>3/4" BSP male</t>
        </is>
      </c>
      <c r="F94" s="4" t="inlineStr">
        <is>
          <t>Blue polypropylene (handle/head), brass (nozzle)</t>
        </is>
      </c>
      <c r="G94" s="4" t="n"/>
      <c r="H94" s="4" t="inlineStr">
        <is>
          <t>Lightweight spray head, 3/4" BSP male, Blue polypropylene (handle/head), brass (nozzle)</t>
        </is>
      </c>
      <c r="I94" s="4" t="inlineStr">
        <is>
          <t>47 - Lightweight spray head.pdf</t>
        </is>
      </c>
      <c r="J94" s="4" t="inlineStr">
        <is>
          <t>Confirmed</t>
        </is>
      </c>
      <c r="K94" s="4" t="n"/>
    </row>
    <row r="95">
      <c r="A95" s="4" t="inlineStr">
        <is>
          <t>Washdown / cleaning equipment</t>
        </is>
      </c>
      <c r="B95" s="4" t="inlineStr">
        <is>
          <t>TWRWR02XL</t>
        </is>
      </c>
      <c r="C95" s="4" t="inlineStr">
        <is>
          <t>WD-TWRWR02XL</t>
        </is>
      </c>
      <c r="D95" s="4" t="inlineStr">
        <is>
          <t>Twister XL spray head</t>
        </is>
      </c>
      <c r="E95" s="4" t="inlineStr">
        <is>
          <t>1" BSPP male, 60 degree conical seal</t>
        </is>
      </c>
      <c r="F95" s="4" t="inlineStr">
        <is>
          <t>Stainless steel AISI 304, POM, EPDM</t>
        </is>
      </c>
      <c r="G95" s="4" t="n"/>
      <c r="H95" s="4" t="inlineStr">
        <is>
          <t>Twister XL spray head, 1" BSPP male, 60 degree conical seal, Stainless steel AISI 304, POM, EPDM</t>
        </is>
      </c>
      <c r="I95" s="4" t="inlineStr">
        <is>
          <t>48 - Twister series spray heads.pdf</t>
        </is>
      </c>
      <c r="J95" s="4" t="inlineStr">
        <is>
          <t>Confirmed</t>
        </is>
      </c>
      <c r="K95" s="4" t="n"/>
    </row>
    <row r="96">
      <c r="A96" s="4" t="inlineStr">
        <is>
          <t>Washdown / cleaning equipment</t>
        </is>
      </c>
      <c r="B96" s="4" t="inlineStr">
        <is>
          <t>TWRWR02L</t>
        </is>
      </c>
      <c r="C96" s="4" t="inlineStr">
        <is>
          <t>WD-TWRWR02L</t>
        </is>
      </c>
      <c r="D96" s="4" t="inlineStr">
        <is>
          <t>Twister L spray head</t>
        </is>
      </c>
      <c r="E96" s="4" t="inlineStr">
        <is>
          <t>3/4" BSPP male, 60 degree conical seal</t>
        </is>
      </c>
      <c r="F96" s="4" t="inlineStr">
        <is>
          <t>Stainless steel AISI 304, POM, EPDM</t>
        </is>
      </c>
      <c r="G96" s="4" t="n"/>
      <c r="H96" s="4" t="inlineStr">
        <is>
          <t>Twister L spray head, 3/4" BSPP male, 60 degree conical seal, Stainless steel AISI 304, POM, EPDM</t>
        </is>
      </c>
      <c r="I96" s="4" t="inlineStr">
        <is>
          <t>48 - Twister series spray heads.pdf</t>
        </is>
      </c>
      <c r="J96" s="4" t="inlineStr">
        <is>
          <t>Confirmed</t>
        </is>
      </c>
      <c r="K96" s="4" t="n"/>
    </row>
    <row r="97">
      <c r="A97" s="4" t="inlineStr">
        <is>
          <t>Washdown / cleaning equipment</t>
        </is>
      </c>
      <c r="B97" s="4" t="inlineStr">
        <is>
          <t>TWRWR02M</t>
        </is>
      </c>
      <c r="C97" s="4" t="inlineStr">
        <is>
          <t>WD-TWRWR02M</t>
        </is>
      </c>
      <c r="D97" s="4" t="inlineStr">
        <is>
          <t>Twister M spray head</t>
        </is>
      </c>
      <c r="E97" s="4" t="inlineStr">
        <is>
          <t>1/2" BSPP male, 60 degree conical seal</t>
        </is>
      </c>
      <c r="F97" s="4" t="inlineStr">
        <is>
          <t>Stainless steel AISI 304, POM, EPDM</t>
        </is>
      </c>
      <c r="G97" s="4" t="n"/>
      <c r="H97" s="4" t="inlineStr">
        <is>
          <t>Twister M spray head, 1/2" BSPP male, 60 degree conical seal, Stainless steel AISI 304, POM, EPDM</t>
        </is>
      </c>
      <c r="I97" s="4" t="inlineStr">
        <is>
          <t>48 - Twister series spray heads.pdf</t>
        </is>
      </c>
      <c r="J97" s="4" t="inlineStr">
        <is>
          <t>Confirmed</t>
        </is>
      </c>
      <c r="K97" s="4" t="n"/>
    </row>
    <row r="98">
      <c r="A98" s="4" t="inlineStr">
        <is>
          <t>Washdown / cleaning equipment</t>
        </is>
      </c>
      <c r="B98" s="4" t="inlineStr">
        <is>
          <t>TW02L-SL</t>
        </is>
      </c>
      <c r="C98" s="4" t="inlineStr">
        <is>
          <t>WD-TW02L-SL</t>
        </is>
      </c>
      <c r="D98" s="4" t="inlineStr">
        <is>
          <t>Twister protective sleeve</t>
        </is>
      </c>
      <c r="E98" s="4" t="inlineStr">
        <is>
          <t>fits Twister L</t>
        </is>
      </c>
      <c r="F98" s="4" t="inlineStr">
        <is>
          <t>EPDM</t>
        </is>
      </c>
      <c r="G98" s="4" t="inlineStr">
        <is>
          <t>bright red</t>
        </is>
      </c>
      <c r="H98" s="4" t="inlineStr">
        <is>
          <t>Twister protective sleeve, fits Twister L, EPDM, bright red</t>
        </is>
      </c>
      <c r="I98" s="4" t="inlineStr">
        <is>
          <t>48 - Twister series spray heads.pdf</t>
        </is>
      </c>
      <c r="J98" s="4" t="inlineStr">
        <is>
          <t>Confirmed</t>
        </is>
      </c>
      <c r="K98" s="4" t="inlineStr">
        <is>
          <t>Accessory - optional protective sleeve, not a spray head itself</t>
        </is>
      </c>
    </row>
    <row r="99">
      <c r="A99" s="4" t="inlineStr">
        <is>
          <t>Washdown / cleaning equipment</t>
        </is>
      </c>
      <c r="B99" s="4" t="inlineStr">
        <is>
          <t>TW02XL-SL</t>
        </is>
      </c>
      <c r="C99" s="4" t="inlineStr">
        <is>
          <t>WD-TW02XL-SL</t>
        </is>
      </c>
      <c r="D99" s="4" t="inlineStr">
        <is>
          <t>Twister protective sleeve</t>
        </is>
      </c>
      <c r="E99" s="4" t="inlineStr">
        <is>
          <t>fits Twister XL</t>
        </is>
      </c>
      <c r="F99" s="4" t="inlineStr">
        <is>
          <t>EPDM</t>
        </is>
      </c>
      <c r="G99" s="4" t="inlineStr">
        <is>
          <t>bright red</t>
        </is>
      </c>
      <c r="H99" s="4" t="inlineStr">
        <is>
          <t>Twister protective sleeve, fits Twister XL, EPDM, bright red</t>
        </is>
      </c>
      <c r="I99" s="4" t="inlineStr">
        <is>
          <t>48 - Twister series spray heads.pdf</t>
        </is>
      </c>
      <c r="J99" s="4" t="inlineStr">
        <is>
          <t>Confirmed</t>
        </is>
      </c>
      <c r="K99" s="4" t="inlineStr">
        <is>
          <t>Accessory - optional protective sleeve, not a spray head itself</t>
        </is>
      </c>
    </row>
    <row r="101">
      <c r="A101" s="10" t="inlineStr">
        <is>
          <t>Copy of AKBO_Part_Number_Conversion.xlsx (SharePoint: 01 Marketing/04 Brochures/AKBO NL), values as at 28-Sep-2026. Add new AKBO -&gt; Nozzleworks codes here; the Pricelist picks them up.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3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90" customWidth="1" min="3" max="3"/>
  </cols>
  <sheetData>
    <row r="1">
      <c r="A1" s="1" t="inlineStr">
        <is>
          <t>Items to action</t>
        </is>
      </c>
    </row>
    <row r="3">
      <c r="A3" s="3" t="inlineStr">
        <is>
          <t>1. AKBO pricelist items with no Nozzleworks part number in the conversion table</t>
        </is>
      </c>
    </row>
    <row r="4">
      <c r="A4" s="16" t="inlineStr">
        <is>
          <t>AKBO code</t>
        </is>
      </c>
      <c r="B4" s="16" t="inlineStr">
        <is>
          <t>Description</t>
        </is>
      </c>
      <c r="C4" s="16" t="inlineStr">
        <is>
          <t>Nozzleworks Part No (live)</t>
        </is>
      </c>
    </row>
    <row r="5">
      <c r="A5" s="4" t="inlineStr">
        <is>
          <t>BMFT001-B-PRIN</t>
        </is>
      </c>
      <c r="B5" s="4" t="inlineStr">
        <is>
          <t>Blue Princess economic brass water gun, blue with PRINCESS logo</t>
        </is>
      </c>
      <c r="C5" s="4">
        <f>IFERROR(INDEX(Conversion!$C$2:$C$500,MATCH($A5,Conversion!$B$2:$B$500,0)),"NOT ASSIGNED")</f>
        <v/>
      </c>
    </row>
    <row r="6">
      <c r="A6" s="4" t="inlineStr">
        <is>
          <t>AKMN011-B-KING</t>
        </is>
      </c>
      <c r="B6" s="4" t="inlineStr">
        <is>
          <t>Blue King superior brass water gun without trigger protection, blue with KING logo</t>
        </is>
      </c>
      <c r="C6" s="4">
        <f>IFERROR(INDEX(Conversion!$C$2:$C$500,MATCH($A6,Conversion!$B$2:$B$500,0)),"NOT ASSIGNED")</f>
        <v/>
      </c>
    </row>
    <row r="7">
      <c r="A7" s="4" t="inlineStr">
        <is>
          <t>AKMNP11-B-KING</t>
        </is>
      </c>
      <c r="B7" s="4" t="inlineStr">
        <is>
          <t>Blue King superior brass water gun with trigger protection, blue with KING logo</t>
        </is>
      </c>
      <c r="C7" s="4">
        <f>IFERROR(INDEX(Conversion!$C$2:$C$500,MATCH($A7,Conversion!$B$2:$B$500,0)),"NOT ASSIGNED")</f>
        <v/>
      </c>
    </row>
    <row r="8">
      <c r="A8" s="4" t="inlineStr">
        <is>
          <t>BRFT003-B-PRIN</t>
        </is>
      </c>
      <c r="B8" s="4" t="inlineStr">
        <is>
          <t>Blue Princess economic stainless steel water gun, blue with PRINCESS logo</t>
        </is>
      </c>
      <c r="C8" s="4">
        <f>IFERROR(INDEX(Conversion!$C$2:$C$500,MATCH($A8,Conversion!$B$2:$B$500,0)),"NOT ASSIGNED")</f>
        <v/>
      </c>
    </row>
    <row r="9">
      <c r="A9" s="4" t="inlineStr">
        <is>
          <t>BRFTP03-B-PRIN</t>
        </is>
      </c>
      <c r="B9" s="4" t="inlineStr">
        <is>
          <t>Blue Princess economic stainless steel water gun, with trigger guard and insulation trigger, bue with Princess logo</t>
        </is>
      </c>
      <c r="C9" s="4">
        <f>IFERROR(INDEX(Conversion!$C$2:$C$500,MATCH($A9,Conversion!$B$2:$B$500,0)),"NOT ASSIGNED")</f>
        <v/>
      </c>
    </row>
    <row r="10">
      <c r="A10" s="4" t="inlineStr">
        <is>
          <t>AKR001-B</t>
        </is>
      </c>
      <c r="B10" s="4" t="inlineStr">
        <is>
          <t>St, st. shower head, blue</t>
        </is>
      </c>
      <c r="C10" s="4">
        <f>IFERROR(INDEX(Conversion!$C$2:$C$500,MATCH($A10,Conversion!$B$2:$B$500,0)),"NOT ASSIGNED")</f>
        <v/>
      </c>
    </row>
    <row r="11">
      <c r="A11" s="4" t="inlineStr">
        <is>
          <t>BABTA01-B</t>
        </is>
      </c>
      <c r="B11" s="4" t="inlineStr">
        <is>
          <t>Aluminium "baby" water gun, back trigger, adapter outlet, blue</t>
        </is>
      </c>
      <c r="C11" s="4">
        <f>IFERROR(INDEX(Conversion!$C$2:$C$500,MATCH($A11,Conversion!$B$2:$B$500,0)),"NOT ASSIGNED")</f>
        <v/>
      </c>
    </row>
    <row r="12">
      <c r="A12" s="4" t="inlineStr">
        <is>
          <t>BABTNAA-B</t>
        </is>
      </c>
      <c r="B12" s="4" t="inlineStr">
        <is>
          <t>Aluminium "baby" water gun, back trigger, adapter in/output, blue</t>
        </is>
      </c>
      <c r="C12" s="4">
        <f>IFERROR(INDEX(Conversion!$C$2:$C$500,MATCH($A12,Conversion!$B$2:$B$500,0)),"NOT ASSIGNED")</f>
        <v/>
      </c>
    </row>
    <row r="13">
      <c r="A13" s="4" t="inlineStr">
        <is>
          <t>BMBTL01-B</t>
        </is>
      </c>
      <c r="B13" s="4" t="inlineStr">
        <is>
          <t>Brass "baby" water gun, back trigger, 1/2" male outlet, blue</t>
        </is>
      </c>
      <c r="C13" s="4">
        <f>IFERROR(INDEX(Conversion!$C$2:$C$500,MATCH($A13,Conversion!$B$2:$B$500,0)),"NOT ASSIGNED")</f>
        <v/>
      </c>
    </row>
    <row r="14">
      <c r="A14" s="4" t="inlineStr">
        <is>
          <t>BMBTA01-B</t>
        </is>
      </c>
      <c r="B14" s="4" t="inlineStr">
        <is>
          <t>Brass "baby" water gun, back trigger, adapter output, blue</t>
        </is>
      </c>
      <c r="C14" s="4">
        <f>IFERROR(INDEX(Conversion!$C$2:$C$500,MATCH($A14,Conversion!$B$2:$B$500,0)),"NOT ASSIGNED")</f>
        <v/>
      </c>
    </row>
    <row r="15">
      <c r="A15" s="4" t="inlineStr">
        <is>
          <t>BMBTA02-B-V</t>
        </is>
      </c>
      <c r="B15" s="4" t="inlineStr">
        <is>
          <t>Brass "baby" water gun, back trigger, adapter output, viton seals, blue</t>
        </is>
      </c>
      <c r="C15" s="4">
        <f>IFERROR(INDEX(Conversion!$C$2:$C$500,MATCH($A15,Conversion!$B$2:$B$500,0)),"NOT ASSIGNED")</f>
        <v/>
      </c>
    </row>
    <row r="16">
      <c r="A16" s="4" t="inlineStr">
        <is>
          <t>AKRSH03-W</t>
        </is>
      </c>
      <c r="B16" s="4" t="inlineStr">
        <is>
          <t>St.st. spray head black, white handgrip</t>
        </is>
      </c>
      <c r="C16" s="4">
        <f>IFERROR(INDEX(Conversion!$C$2:$C$500,MATCH($A16,Conversion!$B$2:$B$500,0)),"NOT ASSIGNED")</f>
        <v/>
      </c>
    </row>
    <row r="17">
      <c r="A17" s="4" t="inlineStr">
        <is>
          <t>AKRSHL1-W</t>
        </is>
      </c>
      <c r="B17" s="4" t="inlineStr">
        <is>
          <t>St. st. water saving spray head with handgrip, white</t>
        </is>
      </c>
      <c r="C17" s="4">
        <f>IFERROR(INDEX(Conversion!$C$2:$C$500,MATCH($A17,Conversion!$B$2:$B$500,0)),"NOT ASSIGNED")</f>
        <v/>
      </c>
    </row>
    <row r="18">
      <c r="A18" s="4" t="inlineStr">
        <is>
          <t>AKWMS01</t>
        </is>
      </c>
      <c r="B18" s="4" t="inlineStr">
        <is>
          <t>Water saver brass; model S; 3/4" female</t>
        </is>
      </c>
      <c r="C18" s="4">
        <f>IFERROR(INDEX(Conversion!$C$2:$C$500,MATCH($A18,Conversion!$B$2:$B$500,0)),"NOT ASSIGNED")</f>
        <v/>
      </c>
    </row>
    <row r="19">
      <c r="A19" s="4" t="inlineStr">
        <is>
          <t>AKWMM01</t>
        </is>
      </c>
      <c r="B19" s="4" t="inlineStr">
        <is>
          <t>Water saver brass; model M; 3/4" female</t>
        </is>
      </c>
      <c r="C19" s="4">
        <f>IFERROR(INDEX(Conversion!$C$2:$C$500,MATCH($A19,Conversion!$B$2:$B$500,0)),"NOT ASSIGNED")</f>
        <v/>
      </c>
    </row>
    <row r="20">
      <c r="A20" s="4" t="inlineStr">
        <is>
          <t>AKWML01</t>
        </is>
      </c>
      <c r="B20" s="4" t="inlineStr">
        <is>
          <t>Water saver brass; model L; 3/4" female</t>
        </is>
      </c>
      <c r="C20" s="4">
        <f>IFERROR(INDEX(Conversion!$C$2:$C$500,MATCH($A20,Conversion!$B$2:$B$500,0)),"NOT ASSIGNED")</f>
        <v/>
      </c>
    </row>
    <row r="21">
      <c r="A21" s="4" t="inlineStr">
        <is>
          <t>AKWMR01</t>
        </is>
      </c>
      <c r="B21" s="4" t="inlineStr">
        <is>
          <t>Water saver brass; model R; 3/4" female</t>
        </is>
      </c>
      <c r="C21" s="4">
        <f>IFERROR(INDEX(Conversion!$C$2:$C$500,MATCH($A21,Conversion!$B$2:$B$500,0)),"NOT ASSIGNED")</f>
        <v/>
      </c>
    </row>
    <row r="22">
      <c r="A22" s="4" t="inlineStr">
        <is>
          <t>AKWRS01</t>
        </is>
      </c>
      <c r="B22" s="4" t="inlineStr">
        <is>
          <t>Water saver stainless steel; model S; 3/4" female</t>
        </is>
      </c>
      <c r="C22" s="4">
        <f>IFERROR(INDEX(Conversion!$C$2:$C$500,MATCH($A22,Conversion!$B$2:$B$500,0)),"NOT ASSIGNED")</f>
        <v/>
      </c>
    </row>
    <row r="23">
      <c r="A23" s="4" t="inlineStr">
        <is>
          <t>AKWRM01</t>
        </is>
      </c>
      <c r="B23" s="4" t="inlineStr">
        <is>
          <t>Water saver stainless steel; model M; 3/4" female</t>
        </is>
      </c>
      <c r="C23" s="4">
        <f>IFERROR(INDEX(Conversion!$C$2:$C$500,MATCH($A23,Conversion!$B$2:$B$500,0)),"NOT ASSIGNED")</f>
        <v/>
      </c>
    </row>
    <row r="24">
      <c r="A24" s="4" t="inlineStr">
        <is>
          <t>AKWRL01</t>
        </is>
      </c>
      <c r="B24" s="4" t="inlineStr">
        <is>
          <t>Water saver stainless steel; model L; 3/4" female</t>
        </is>
      </c>
      <c r="C24" s="4">
        <f>IFERROR(INDEX(Conversion!$C$2:$C$500,MATCH($A24,Conversion!$B$2:$B$500,0)),"NOT ASSIGNED")</f>
        <v/>
      </c>
    </row>
    <row r="25">
      <c r="A25" s="4" t="inlineStr">
        <is>
          <t>AKWRR01</t>
        </is>
      </c>
      <c r="B25" s="4" t="inlineStr">
        <is>
          <t>Water saver stainless steel; model R; 3/4" female</t>
        </is>
      </c>
      <c r="C25" s="4">
        <f>IFERROR(INDEX(Conversion!$C$2:$C$500,MATCH($A25,Conversion!$B$2:$B$500,0)),"NOT ASSIGNED")</f>
        <v/>
      </c>
    </row>
    <row r="26">
      <c r="A26" s="4" t="inlineStr">
        <is>
          <t>BWNM045</t>
        </is>
      </c>
      <c r="B26" s="4" t="inlineStr">
        <is>
          <t>Economic Sprayer "Blue Nozzle" brass with EPDM, 4.5mm outlet</t>
        </is>
      </c>
      <c r="C26" s="4">
        <f>IFERROR(INDEX(Conversion!$C$2:$C$500,MATCH($A26,Conversion!$B$2:$B$500,0)),"NOT ASSIGNED")</f>
        <v/>
      </c>
    </row>
    <row r="27">
      <c r="A27" s="4" t="inlineStr">
        <is>
          <t>AKKS003-B</t>
        </is>
      </c>
      <c r="B27" s="4" t="inlineStr">
        <is>
          <t>Plastic shower head, blue</t>
        </is>
      </c>
      <c r="C27" s="4">
        <f>IFERROR(INDEX(Conversion!$C$2:$C$500,MATCH($A27,Conversion!$B$2:$B$500,0)),"NOT ASSIGNED")</f>
        <v/>
      </c>
    </row>
    <row r="28">
      <c r="A28" s="4" t="inlineStr">
        <is>
          <t>AKKS003-B-19</t>
        </is>
      </c>
      <c r="B28" s="4" t="inlineStr">
        <is>
          <t>Plastic shower head blue with 19mm hose tail MESC019 (separate)</t>
        </is>
      </c>
      <c r="C28" s="4">
        <f>IFERROR(INDEX(Conversion!$C$2:$C$500,MATCH($A28,Conversion!$B$2:$B$500,0)),"NOT ASSIGNED")</f>
        <v/>
      </c>
    </row>
    <row r="29">
      <c r="A29" s="4" t="inlineStr">
        <is>
          <t>AKKS003-W</t>
        </is>
      </c>
      <c r="B29" s="4" t="inlineStr">
        <is>
          <t>Plastic shower head, white</t>
        </is>
      </c>
      <c r="C29" s="4">
        <f>IFERROR(INDEX(Conversion!$C$2:$C$500,MATCH($A29,Conversion!$B$2:$B$500,0)),"NOT ASSIGNED")</f>
        <v/>
      </c>
    </row>
    <row r="30">
      <c r="A30" s="4" t="inlineStr">
        <is>
          <t>AKKS003-W-19</t>
        </is>
      </c>
      <c r="B30" s="4" t="inlineStr">
        <is>
          <t>Plastic shower head white with 19mm hose tail MESC019 (separate)</t>
        </is>
      </c>
      <c r="C30" s="4">
        <f>IFERROR(INDEX(Conversion!$C$2:$C$500,MATCH($A30,Conversion!$B$2:$B$500,0)),"NOT ASSIGNED")</f>
        <v/>
      </c>
    </row>
    <row r="31">
      <c r="A31" s="4" t="inlineStr">
        <is>
          <t>BALR001-B</t>
        </is>
      </c>
      <c r="B31" s="4" t="inlineStr">
        <is>
          <t>St.st. protected ball valve, 1/2" female x 1/2" female, blue</t>
        </is>
      </c>
      <c r="C31" s="4">
        <f>IFERROR(INDEX(Conversion!$C$2:$C$500,MATCH($A31,Conversion!$B$2:$B$500,0)),"NOT ASSIGNED")</f>
        <v/>
      </c>
    </row>
    <row r="32">
      <c r="A32" s="4" t="inlineStr">
        <is>
          <t>BALRCP1-B</t>
        </is>
      </c>
      <c r="B32" s="4" t="inlineStr">
        <is>
          <t>St.st. protected ball valve, 1/2" female x st.st. coupler with protection, blue</t>
        </is>
      </c>
      <c r="C32" s="4">
        <f>IFERROR(INDEX(Conversion!$C$2:$C$500,MATCH($A32,Conversion!$B$2:$B$500,0)),"NOT ASSIGNED")</f>
        <v/>
      </c>
    </row>
    <row r="33">
      <c r="A33" s="4" t="inlineStr">
        <is>
          <t>BALRCP1-NB</t>
        </is>
      </c>
      <c r="B33" s="4" t="inlineStr">
        <is>
          <t>St.st. protected ball valve, 1/2" female x st.st. coupler with nylon protection, blue</t>
        </is>
      </c>
      <c r="C33" s="4">
        <f>IFERROR(INDEX(Conversion!$C$2:$C$500,MATCH($A33,Conversion!$B$2:$B$500,0)),"NOT ASSIGNED")</f>
        <v/>
      </c>
    </row>
    <row r="34">
      <c r="A34" s="4" t="inlineStr">
        <is>
          <t>BARRCP2-B</t>
        </is>
      </c>
      <c r="B34" s="4" t="inlineStr">
        <is>
          <t>Stainless steel (AISI 316) ball valve with mechanical protection, coupler with blue protection and adapter</t>
        </is>
      </c>
      <c r="C34" s="4">
        <f>IFERROR(INDEX(Conversion!$C$2:$C$500,MATCH($A34,Conversion!$B$2:$B$500,0)),"NOT ASSIGNED")</f>
        <v/>
      </c>
    </row>
    <row r="35">
      <c r="A35" s="4" t="inlineStr">
        <is>
          <t>SWM09-12</t>
        </is>
      </c>
      <c r="B35" s="4" t="inlineStr">
        <is>
          <t>Brass ball bearing swivel, 1/2" male x 1/2" female, 9mm bore, flat seals</t>
        </is>
      </c>
      <c r="C35" s="4">
        <f>IFERROR(INDEX(Conversion!$C$2:$C$500,MATCH($A35,Conversion!$B$2:$B$500,0)),"NOT ASSIGNED")</f>
        <v/>
      </c>
    </row>
    <row r="36">
      <c r="A36" s="4" t="inlineStr">
        <is>
          <t>SWM09-34</t>
        </is>
      </c>
      <c r="B36" s="4" t="inlineStr">
        <is>
          <t>Brass ball bearing swivel, 1/2" male x 3/4" female, 9mm bore, flat seals</t>
        </is>
      </c>
      <c r="C36" s="4">
        <f>IFERROR(INDEX(Conversion!$C$2:$C$500,MATCH($A36,Conversion!$B$2:$B$500,0)),"NOT ASSIGNED")</f>
        <v/>
      </c>
    </row>
    <row r="37">
      <c r="A37" s="4" t="inlineStr">
        <is>
          <t>SWM14-34</t>
        </is>
      </c>
      <c r="B37" s="4" t="inlineStr">
        <is>
          <t>Brass ball bearing swivel, 1/2" male x 3/4" female, 14mm bore, flat seals</t>
        </is>
      </c>
      <c r="C37" s="4">
        <f>IFERROR(INDEX(Conversion!$C$2:$C$500,MATCH($A37,Conversion!$B$2:$B$500,0)),"NOT ASSIGNED")</f>
        <v/>
      </c>
    </row>
    <row r="38">
      <c r="A38" s="4" t="inlineStr">
        <is>
          <t>SWM14-34X34</t>
        </is>
      </c>
      <c r="B38" s="4" t="inlineStr">
        <is>
          <t>Brass ball bearing swivel, 3/4" male x 3/4" female, 14mm bore, flat seals</t>
        </is>
      </c>
      <c r="C38" s="4">
        <f>IFERROR(INDEX(Conversion!$C$2:$C$500,MATCH($A38,Conversion!$B$2:$B$500,0)),"NOT ASSIGNED")</f>
        <v/>
      </c>
    </row>
    <row r="39">
      <c r="A39" s="4" t="inlineStr">
        <is>
          <t>SWM18-1X1</t>
        </is>
      </c>
      <c r="B39" s="4" t="inlineStr">
        <is>
          <t>Brass ball bearing swivel, 1" male x 1" female, 18mm bore, flat seals</t>
        </is>
      </c>
      <c r="C39" s="4">
        <f>IFERROR(INDEX(Conversion!$C$2:$C$500,MATCH($A39,Conversion!$B$2:$B$500,0)),"NOT ASSIGNED")</f>
        <v/>
      </c>
    </row>
    <row r="40">
      <c r="A40" s="4" t="inlineStr">
        <is>
          <t>SWM09-12MX12M</t>
        </is>
      </c>
      <c r="B40" s="4" t="inlineStr">
        <is>
          <t>Brass ball bearing swivel, 1/2" male x 1/2" male, 9mm bore, flat seals</t>
        </is>
      </c>
      <c r="C40" s="4">
        <f>IFERROR(INDEX(Conversion!$C$2:$C$500,MATCH($A40,Conversion!$B$2:$B$500,0)),"NOT ASSIGNED")</f>
        <v/>
      </c>
    </row>
    <row r="41">
      <c r="A41" s="4" t="inlineStr">
        <is>
          <t>SWM09-12MX34M</t>
        </is>
      </c>
      <c r="B41" s="4" t="inlineStr">
        <is>
          <t>Brass ball bearing swivel, 1/2" male x 3/4" male, 9mm bore, flat seal</t>
        </is>
      </c>
      <c r="C41" s="4">
        <f>IFERROR(INDEX(Conversion!$C$2:$C$500,MATCH($A41,Conversion!$B$2:$B$500,0)),"NOT ASSIGNED")</f>
        <v/>
      </c>
    </row>
    <row r="42">
      <c r="A42" s="4" t="inlineStr">
        <is>
          <t>SWC09-12</t>
        </is>
      </c>
      <c r="B42" s="4" t="inlineStr">
        <is>
          <t>Chrome plated brass ball bearing swivel, 1/2" male x 1/2" female, 9mm bore, flat seals</t>
        </is>
      </c>
      <c r="C42" s="4">
        <f>IFERROR(INDEX(Conversion!$C$2:$C$500,MATCH($A42,Conversion!$B$2:$B$500,0)),"NOT ASSIGNED")</f>
        <v/>
      </c>
    </row>
    <row r="43">
      <c r="A43" s="4" t="inlineStr">
        <is>
          <t>SWC09-34</t>
        </is>
      </c>
      <c r="B43" s="4" t="inlineStr">
        <is>
          <t>Chrome plated brass ball bearing swivel, 1/2" male x 3/4" female, 9mm bore, flat seals</t>
        </is>
      </c>
      <c r="C43" s="4">
        <f>IFERROR(INDEX(Conversion!$C$2:$C$500,MATCH($A43,Conversion!$B$2:$B$500,0)),"NOT ASSIGNED")</f>
        <v/>
      </c>
    </row>
    <row r="44">
      <c r="A44" s="4" t="inlineStr">
        <is>
          <t>SWR09-12</t>
        </is>
      </c>
      <c r="B44" s="4" t="inlineStr">
        <is>
          <t>St.st. ball bearing swivel, 1/2" male x 1/2" female, 9mm bore, flat seals</t>
        </is>
      </c>
      <c r="C44" s="4">
        <f>IFERROR(INDEX(Conversion!$C$2:$C$500,MATCH($A44,Conversion!$B$2:$B$500,0)),"NOT ASSIGNED")</f>
        <v/>
      </c>
    </row>
    <row r="45">
      <c r="A45" s="4" t="inlineStr">
        <is>
          <t>SWR09-34</t>
        </is>
      </c>
      <c r="B45" s="4" t="inlineStr">
        <is>
          <t>St.st. ball bearing swivel, 1/2" male x 3/4" female, 9mm bore, flat seals</t>
        </is>
      </c>
      <c r="C45" s="4">
        <f>IFERROR(INDEX(Conversion!$C$2:$C$500,MATCH($A45,Conversion!$B$2:$B$500,0)),"NOT ASSIGNED")</f>
        <v/>
      </c>
    </row>
    <row r="46">
      <c r="A46" s="4" t="inlineStr">
        <is>
          <t>SWR14-34</t>
        </is>
      </c>
      <c r="B46" s="4" t="inlineStr">
        <is>
          <t>St.st. ball bearing swivel, 1/2" male x 3/4" female, 14mm bore, flat seals</t>
        </is>
      </c>
      <c r="C46" s="4">
        <f>IFERROR(INDEX(Conversion!$C$2:$C$500,MATCH($A46,Conversion!$B$2:$B$500,0)),"NOT ASSIGNED")</f>
        <v/>
      </c>
    </row>
    <row r="47">
      <c r="A47" s="4" t="inlineStr">
        <is>
          <t>SWR14-34X34</t>
        </is>
      </c>
      <c r="B47" s="4" t="inlineStr">
        <is>
          <t>St. st. ball bearing swivel, 3/4" male x 3/4" female, 14mm bore, flat seals</t>
        </is>
      </c>
      <c r="C47" s="4">
        <f>IFERROR(INDEX(Conversion!$C$2:$C$500,MATCH($A47,Conversion!$B$2:$B$500,0)),"NOT ASSIGNED")</f>
        <v/>
      </c>
    </row>
    <row r="48">
      <c r="A48" s="4" t="inlineStr">
        <is>
          <t>SWR18-1X1</t>
        </is>
      </c>
      <c r="B48" s="4" t="inlineStr">
        <is>
          <t>St.st. ball bearing swivel, 1" male x 1" female, 18mm bore, flat seals</t>
        </is>
      </c>
      <c r="C48" s="4">
        <f>IFERROR(INDEX(Conversion!$C$2:$C$500,MATCH($A48,Conversion!$B$2:$B$500,0)),"NOT ASSIGNED")</f>
        <v/>
      </c>
    </row>
    <row r="49">
      <c r="A49" s="4" t="inlineStr">
        <is>
          <t>SWR09-12Mx12M</t>
        </is>
      </c>
      <c r="B49" s="4" t="inlineStr">
        <is>
          <t>St.st. ball bearing swivel, 1/2" male x 1/2" male, 9mm bore</t>
        </is>
      </c>
      <c r="C49" s="4">
        <f>IFERROR(INDEX(Conversion!$C$2:$C$500,MATCH($A49,Conversion!$B$2:$B$500,0)),"NOT ASSIGNED")</f>
        <v/>
      </c>
    </row>
    <row r="50">
      <c r="A50" s="4" t="inlineStr">
        <is>
          <t>SWR09-12MX34M</t>
        </is>
      </c>
      <c r="B50" s="4" t="inlineStr">
        <is>
          <t>St.st. ball bearing swivel, 1/2" male x 3/4" male, 9mm bore, flat seal</t>
        </is>
      </c>
      <c r="C50" s="4">
        <f>IFERROR(INDEX(Conversion!$C$2:$C$500,MATCH($A50,Conversion!$B$2:$B$500,0)),"NOT ASSIGNED")</f>
        <v/>
      </c>
    </row>
    <row r="51">
      <c r="A51" s="4" t="inlineStr">
        <is>
          <t>SWIFM1/2</t>
        </is>
      </c>
      <c r="B51" s="4" t="inlineStr">
        <is>
          <t>Brass swivelling hose tail 13mm x 1/2" male</t>
        </is>
      </c>
      <c r="C51" s="4">
        <f>IFERROR(INDEX(Conversion!$C$2:$C$500,MATCH($A51,Conversion!$B$2:$B$500,0)),"NOT ASSIGNED")</f>
        <v/>
      </c>
    </row>
    <row r="52">
      <c r="A52" s="4" t="inlineStr">
        <is>
          <t>SWIFR1/2</t>
        </is>
      </c>
      <c r="B52" s="4" t="inlineStr">
        <is>
          <t>Stainless steel swivelling hose tail 13mm x 1/2" male</t>
        </is>
      </c>
      <c r="C52" s="4">
        <f>IFERROR(INDEX(Conversion!$C$2:$C$500,MATCH($A52,Conversion!$B$2:$B$500,0)),"NOT ASSIGNED")</f>
        <v/>
      </c>
    </row>
    <row r="53">
      <c r="A53" s="4" t="inlineStr">
        <is>
          <t>SWIFB10</t>
        </is>
      </c>
      <c r="B53" s="4" t="inlineStr">
        <is>
          <t>St.st. full bore swivelling hose tail, 10mm x 1/2" BSPT male</t>
        </is>
      </c>
      <c r="C53" s="4">
        <f>IFERROR(INDEX(Conversion!$C$2:$C$500,MATCH($A53,Conversion!$B$2:$B$500,0)),"NOT ASSIGNED")</f>
        <v/>
      </c>
    </row>
    <row r="54">
      <c r="A54" s="4" t="inlineStr">
        <is>
          <t>SWIFB13-C17</t>
        </is>
      </c>
      <c r="B54" s="4" t="inlineStr">
        <is>
          <t>St.st. full bore swivelling hose tail, 13mm x 1/2" male, 17mm collar</t>
        </is>
      </c>
      <c r="C54" s="4">
        <f>IFERROR(INDEX(Conversion!$C$2:$C$500,MATCH($A54,Conversion!$B$2:$B$500,0)),"NOT ASSIGNED")</f>
        <v/>
      </c>
    </row>
    <row r="55">
      <c r="A55" s="4" t="inlineStr">
        <is>
          <t>SWIFB13-C17-SP</t>
        </is>
      </c>
      <c r="B55" s="4" t="inlineStr">
        <is>
          <t>St.st. full bore swivelling hose tail, 13mm x 1/2" male, 17mm collar, inside hose protection spring.</t>
        </is>
      </c>
      <c r="C55" s="4">
        <f>IFERROR(INDEX(Conversion!$C$2:$C$500,MATCH($A55,Conversion!$B$2:$B$500,0)),"NOT ASSIGNED")</f>
        <v/>
      </c>
    </row>
    <row r="56">
      <c r="A56" s="4" t="inlineStr">
        <is>
          <t>SWIFB13-C20</t>
        </is>
      </c>
      <c r="B56" s="4" t="inlineStr">
        <is>
          <t>St.st. full bore swivelling hose tail, 13mm x 1/2" male, 20mm collar</t>
        </is>
      </c>
      <c r="C56" s="4">
        <f>IFERROR(INDEX(Conversion!$C$2:$C$500,MATCH($A56,Conversion!$B$2:$B$500,0)),"NOT ASSIGNED")</f>
        <v/>
      </c>
    </row>
    <row r="57">
      <c r="A57" s="4" t="inlineStr">
        <is>
          <t>SWIFB13-C20-SP</t>
        </is>
      </c>
      <c r="B57" s="4" t="inlineStr">
        <is>
          <t>St.st. full bore swivelling hose tail, 13mm x 1/2" male, 20mm collar, inside hose protection spring</t>
        </is>
      </c>
      <c r="C57" s="4">
        <f>IFERROR(INDEX(Conversion!$C$2:$C$500,MATCH($A57,Conversion!$B$2:$B$500,0)),"NOT ASSIGNED")</f>
        <v/>
      </c>
    </row>
    <row r="58">
      <c r="A58" s="4" t="inlineStr">
        <is>
          <t>SWIFB16-C21</t>
        </is>
      </c>
      <c r="B58" s="4" t="inlineStr">
        <is>
          <t>St.st. full bore swivelling hose tail, 16mm x 1/2" male, 21mm collar</t>
        </is>
      </c>
      <c r="C58" s="4">
        <f>IFERROR(INDEX(Conversion!$C$2:$C$500,MATCH($A58,Conversion!$B$2:$B$500,0)),"NOT ASSIGNED")</f>
        <v/>
      </c>
    </row>
    <row r="59">
      <c r="A59" s="4" t="inlineStr">
        <is>
          <t>SWIFB16-C21-SP</t>
        </is>
      </c>
      <c r="B59" s="4" t="inlineStr">
        <is>
          <t>St.st. full bore swivelling hose tail, 16mm x 1/2" male, 21mm collar, inside hose protection spring</t>
        </is>
      </c>
      <c r="C59" s="4">
        <f>IFERROR(INDEX(Conversion!$C$2:$C$500,MATCH($A59,Conversion!$B$2:$B$500,0)),"NOT ASSIGNED")</f>
        <v/>
      </c>
    </row>
    <row r="60">
      <c r="A60" s="4" t="inlineStr">
        <is>
          <t>SWIFB19-C24</t>
        </is>
      </c>
      <c r="B60" s="4" t="inlineStr">
        <is>
          <t>St.st. full bore swivelling hose tail, 19mm x 1/2" male, 24mm collar</t>
        </is>
      </c>
      <c r="C60" s="4">
        <f>IFERROR(INDEX(Conversion!$C$2:$C$500,MATCH($A60,Conversion!$B$2:$B$500,0)),"NOT ASSIGNED")</f>
        <v/>
      </c>
    </row>
    <row r="61">
      <c r="A61" s="4" t="inlineStr">
        <is>
          <t>SWIFB19-C24-34</t>
        </is>
      </c>
      <c r="B61" s="4" t="inlineStr">
        <is>
          <t>St.st. full bore swivelling hose tail, 19mm x 3/4" male, 24mm collar</t>
        </is>
      </c>
      <c r="C61" s="4">
        <f>IFERROR(INDEX(Conversion!$C$2:$C$500,MATCH($A61,Conversion!$B$2:$B$500,0)),"NOT ASSIGNED")</f>
        <v/>
      </c>
    </row>
    <row r="62">
      <c r="A62" s="4" t="inlineStr">
        <is>
          <t>SWIFB19-C24-34S</t>
        </is>
      </c>
      <c r="B62" s="4" t="inlineStr">
        <is>
          <t>St.st. full bore swivelling hose tail, 19mm x 3/4" male, 24mm collar, inside hose protection spring</t>
        </is>
      </c>
      <c r="C62" s="4">
        <f>IFERROR(INDEX(Conversion!$C$2:$C$500,MATCH($A62,Conversion!$B$2:$B$500,0)),"NOT ASSIGNED")</f>
        <v/>
      </c>
    </row>
    <row r="63">
      <c r="A63" s="4" t="inlineStr">
        <is>
          <t>SWIFB19-C24-SP</t>
        </is>
      </c>
      <c r="B63" s="4" t="inlineStr">
        <is>
          <t>St.st. full bore swivelling hose tail, 19mm x 1/2" male, 24mm collar, inside hose protection spring</t>
        </is>
      </c>
      <c r="C63" s="4">
        <f>IFERROR(INDEX(Conversion!$C$2:$C$500,MATCH($A63,Conversion!$B$2:$B$500,0)),"NOT ASSIGNED")</f>
        <v/>
      </c>
    </row>
    <row r="64">
      <c r="A64" s="4" t="inlineStr">
        <is>
          <t>MESS013</t>
        </is>
      </c>
      <c r="B64" s="4" t="inlineStr">
        <is>
          <t>Brass hose tail, 1/2" male x 13mm</t>
        </is>
      </c>
      <c r="C64" s="4">
        <f>IFERROR(INDEX(Conversion!$C$2:$C$500,MATCH($A64,Conversion!$B$2:$B$500,0)),"NOT ASSIGNED")</f>
        <v/>
      </c>
    </row>
    <row r="65">
      <c r="A65" s="4" t="inlineStr">
        <is>
          <t>MESS019</t>
        </is>
      </c>
      <c r="B65" s="4" t="inlineStr">
        <is>
          <t>Brass hose tail, 1/2" male x 19mm</t>
        </is>
      </c>
      <c r="C65" s="4">
        <f>IFERROR(INDEX(Conversion!$C$2:$C$500,MATCH($A65,Conversion!$B$2:$B$500,0)),"NOT ASSIGNED")</f>
        <v/>
      </c>
    </row>
    <row r="66">
      <c r="A66" s="4" t="inlineStr">
        <is>
          <t>MESS025</t>
        </is>
      </c>
      <c r="B66" s="4" t="inlineStr">
        <is>
          <t>Brass hose tail, 1/2" male x 25mm</t>
        </is>
      </c>
      <c r="C66" s="4">
        <f>IFERROR(INDEX(Conversion!$C$2:$C$500,MATCH($A66,Conversion!$B$2:$B$500,0)),"NOT ASSIGNED")</f>
        <v/>
      </c>
    </row>
    <row r="67">
      <c r="A67" s="4" t="inlineStr">
        <is>
          <t>MESC013</t>
        </is>
      </c>
      <c r="B67" s="4" t="inlineStr">
        <is>
          <t>Chrome plated brass hose tail, 1/2" BSP male with O-ring x 13mm</t>
        </is>
      </c>
      <c r="C67" s="4">
        <f>IFERROR(INDEX(Conversion!$C$2:$C$500,MATCH($A67,Conversion!$B$2:$B$500,0)),"NOT ASSIGNED")</f>
        <v/>
      </c>
    </row>
    <row r="68">
      <c r="A68" s="4" t="inlineStr">
        <is>
          <t>MESC016</t>
        </is>
      </c>
      <c r="B68" s="4" t="inlineStr">
        <is>
          <t>Chrome plated brass hose tail, 1/2" BSP male with O-ring x 16mm</t>
        </is>
      </c>
      <c r="C68" s="4">
        <f>IFERROR(INDEX(Conversion!$C$2:$C$500,MATCH($A68,Conversion!$B$2:$B$500,0)),"NOT ASSIGNED")</f>
        <v/>
      </c>
    </row>
    <row r="69">
      <c r="A69" s="4" t="inlineStr">
        <is>
          <t>MESC019</t>
        </is>
      </c>
      <c r="B69" s="4" t="inlineStr">
        <is>
          <t>Chrome plated brass hose tail, 1/2" BSP male with O-ring x 19mm</t>
        </is>
      </c>
      <c r="C69" s="4">
        <f>IFERROR(INDEX(Conversion!$C$2:$C$500,MATCH($A69,Conversion!$B$2:$B$500,0)),"NOT ASSIGNED")</f>
        <v/>
      </c>
    </row>
    <row r="70">
      <c r="A70" s="4" t="inlineStr">
        <is>
          <t>RVST013-C17</t>
        </is>
      </c>
      <c r="B70" s="4" t="inlineStr">
        <is>
          <t>St.st. hose tail, 1/2" male x 13mm, 17mm collar</t>
        </is>
      </c>
      <c r="C70" s="4">
        <f>IFERROR(INDEX(Conversion!$C$2:$C$500,MATCH($A70,Conversion!$B$2:$B$500,0)),"NOT ASSIGNED")</f>
        <v/>
      </c>
    </row>
    <row r="71">
      <c r="A71" s="4" t="inlineStr">
        <is>
          <t>RVST013-C17-SP</t>
        </is>
      </c>
      <c r="B71" s="4" t="inlineStr">
        <is>
          <t>St.st. hose tail, 1/2" male x 13mm, 17mm collar, inside hose protection spring</t>
        </is>
      </c>
      <c r="C71" s="4">
        <f>IFERROR(INDEX(Conversion!$C$2:$C$500,MATCH($A71,Conversion!$B$2:$B$500,0)),"NOT ASSIGNED")</f>
        <v/>
      </c>
    </row>
    <row r="72">
      <c r="A72" s="4" t="inlineStr">
        <is>
          <t>RVST013-C20</t>
        </is>
      </c>
      <c r="B72" s="4" t="inlineStr">
        <is>
          <t>St.st. hose tail, 1/2" male x 13mm, 20mm collar</t>
        </is>
      </c>
      <c r="C72" s="4">
        <f>IFERROR(INDEX(Conversion!$C$2:$C$500,MATCH($A72,Conversion!$B$2:$B$500,0)),"NOT ASSIGNED")</f>
        <v/>
      </c>
    </row>
    <row r="73">
      <c r="A73" s="4" t="inlineStr">
        <is>
          <t>RVST013-C20-12F</t>
        </is>
      </c>
      <c r="B73" s="4" t="inlineStr">
        <is>
          <t>St.st. hose tail, 1/2" female x 13mm, 20mm collar</t>
        </is>
      </c>
      <c r="C73" s="4">
        <f>IFERROR(INDEX(Conversion!$C$2:$C$500,MATCH($A73,Conversion!$B$2:$B$500,0)),"NOT ASSIGNED")</f>
        <v/>
      </c>
    </row>
    <row r="74">
      <c r="A74" s="4" t="inlineStr">
        <is>
          <t>RVST013-C20-34F</t>
        </is>
      </c>
      <c r="B74" s="4" t="inlineStr">
        <is>
          <t>St.st. hose tail, 3/4" female x 13mm, 20mm collar</t>
        </is>
      </c>
      <c r="C74" s="4">
        <f>IFERROR(INDEX(Conversion!$C$2:$C$500,MATCH($A74,Conversion!$B$2:$B$500,0)),"NOT ASSIGNED")</f>
        <v/>
      </c>
    </row>
    <row r="75">
      <c r="A75" s="4" t="inlineStr">
        <is>
          <t>RVST013-C20-SP</t>
        </is>
      </c>
      <c r="B75" s="4" t="inlineStr">
        <is>
          <t>St.st. hose tail, 1/2" male x 13mm, 20mm collar, inside hose protection spring</t>
        </is>
      </c>
      <c r="C75" s="4">
        <f>IFERROR(INDEX(Conversion!$C$2:$C$500,MATCH($A75,Conversion!$B$2:$B$500,0)),"NOT ASSIGNED")</f>
        <v/>
      </c>
    </row>
    <row r="76">
      <c r="A76" s="4" t="inlineStr">
        <is>
          <t>RVST016-C21</t>
        </is>
      </c>
      <c r="B76" s="4" t="inlineStr">
        <is>
          <t>St.st. hose tail, 1/2" male x 16mm, 21mm collar</t>
        </is>
      </c>
      <c r="C76" s="4">
        <f>IFERROR(INDEX(Conversion!$C$2:$C$500,MATCH($A76,Conversion!$B$2:$B$500,0)),"NOT ASSIGNED")</f>
        <v/>
      </c>
    </row>
    <row r="77">
      <c r="A77" s="4" t="inlineStr">
        <is>
          <t>RVST016-C21-SP</t>
        </is>
      </c>
      <c r="B77" s="4" t="inlineStr">
        <is>
          <t>St.st. hose tail, 1/2" male x 16mm, 21mm collar, inside hose protection spring</t>
        </is>
      </c>
      <c r="C77" s="4">
        <f>IFERROR(INDEX(Conversion!$C$2:$C$500,MATCH($A77,Conversion!$B$2:$B$500,0)),"NOT ASSIGNED")</f>
        <v/>
      </c>
    </row>
    <row r="78">
      <c r="A78" s="4" t="inlineStr">
        <is>
          <t>RVST019-C24</t>
        </is>
      </c>
      <c r="B78" s="4" t="inlineStr">
        <is>
          <t>St.st. hose tail, 1/2" male x 19mm, 24mm collar</t>
        </is>
      </c>
      <c r="C78" s="4">
        <f>IFERROR(INDEX(Conversion!$C$2:$C$500,MATCH($A78,Conversion!$B$2:$B$500,0)),"NOT ASSIGNED")</f>
        <v/>
      </c>
    </row>
    <row r="79">
      <c r="A79" s="4" t="inlineStr">
        <is>
          <t>RVST019-C24-SP</t>
        </is>
      </c>
      <c r="B79" s="4" t="inlineStr">
        <is>
          <t>St.st. hose tail, 1/2" male x 19mm, 24mm collar, inside hose protection spring</t>
        </is>
      </c>
      <c r="C79" s="4">
        <f>IFERROR(INDEX(Conversion!$C$2:$C$500,MATCH($A79,Conversion!$B$2:$B$500,0)),"NOT ASSIGNED")</f>
        <v/>
      </c>
    </row>
    <row r="80">
      <c r="A80" s="4" t="inlineStr">
        <is>
          <t>RVST025</t>
        </is>
      </c>
      <c r="B80" s="4" t="inlineStr">
        <is>
          <t>St.st. hose tail, 1/2" male x 25mm</t>
        </is>
      </c>
      <c r="C80" s="4">
        <f>IFERROR(INDEX(Conversion!$C$2:$C$500,MATCH($A80,Conversion!$B$2:$B$500,0)),"NOT ASSIGNED")</f>
        <v/>
      </c>
    </row>
    <row r="81">
      <c r="A81" s="4" t="inlineStr">
        <is>
          <t>RVSW13C17-12C</t>
        </is>
      </c>
      <c r="B81" s="4" t="inlineStr">
        <is>
          <t>St.st. hose tail 13mm x 1/2" BSP female screw cap with conical seal, 17mm collar</t>
        </is>
      </c>
      <c r="C81" s="4">
        <f>IFERROR(INDEX(Conversion!$C$2:$C$500,MATCH($A81,Conversion!$B$2:$B$500,0)),"NOT ASSIGNED")</f>
        <v/>
      </c>
    </row>
    <row r="82">
      <c r="A82" s="4" t="inlineStr">
        <is>
          <t>RVSW13C17-34F</t>
        </is>
      </c>
      <c r="B82" s="4" t="inlineStr">
        <is>
          <t>St.st. hose tail 13mm x 3/4" BSP female screw cap with flat seal, 17mm collar</t>
        </is>
      </c>
      <c r="C82" s="4">
        <f>IFERROR(INDEX(Conversion!$C$2:$C$500,MATCH($A82,Conversion!$B$2:$B$500,0)),"NOT ASSIGNED")</f>
        <v/>
      </c>
    </row>
    <row r="83">
      <c r="A83" s="4" t="inlineStr">
        <is>
          <t>RVSW13C20-12C</t>
        </is>
      </c>
      <c r="B83" s="4" t="inlineStr">
        <is>
          <t>St.st. hose tail 13mm x 1/2" BSP female screw cap with conical seal, 20mm collar</t>
        </is>
      </c>
      <c r="C83" s="4">
        <f>IFERROR(INDEX(Conversion!$C$2:$C$500,MATCH($A83,Conversion!$B$2:$B$500,0)),"NOT ASSIGNED")</f>
        <v/>
      </c>
    </row>
    <row r="84">
      <c r="A84" s="4" t="inlineStr">
        <is>
          <t>RVSW13C20-12F</t>
        </is>
      </c>
      <c r="B84" s="4" t="inlineStr">
        <is>
          <t>St.st. hose tail 13mm x 1/2" BSP female screw cap with flat seal, 20mm collar</t>
        </is>
      </c>
      <c r="C84" s="4">
        <f>IFERROR(INDEX(Conversion!$C$2:$C$500,MATCH($A84,Conversion!$B$2:$B$500,0)),"NOT ASSIGNED")</f>
        <v/>
      </c>
    </row>
    <row r="85">
      <c r="A85" s="4" t="inlineStr">
        <is>
          <t>RVSW13C20-12FS</t>
        </is>
      </c>
      <c r="B85" s="4" t="inlineStr">
        <is>
          <t>St.st. hose tail 13mm x 1/2" BSP female screw cap with flat seal, 20mm collar and spring</t>
        </is>
      </c>
      <c r="C85" s="4">
        <f>IFERROR(INDEX(Conversion!$C$2:$C$500,MATCH($A85,Conversion!$B$2:$B$500,0)),"NOT ASSIGNED")</f>
        <v/>
      </c>
    </row>
    <row r="86">
      <c r="A86" s="4" t="inlineStr">
        <is>
          <t>RVSW13C20-34F</t>
        </is>
      </c>
      <c r="B86" s="4" t="inlineStr">
        <is>
          <t>St.st. hose tail 13mm x 3/4" BSP female screw cap with flat seal, 20mm collar</t>
        </is>
      </c>
      <c r="C86" s="4">
        <f>IFERROR(INDEX(Conversion!$C$2:$C$500,MATCH($A86,Conversion!$B$2:$B$500,0)),"NOT ASSIGNED")</f>
        <v/>
      </c>
    </row>
    <row r="87">
      <c r="A87" s="4" t="inlineStr">
        <is>
          <t>RVSW16C21-12C</t>
        </is>
      </c>
      <c r="B87" s="4" t="inlineStr">
        <is>
          <t>St.st. hose tail 16mm x 1/2" BSP female screw cap with conical seal, 21mm collar</t>
        </is>
      </c>
      <c r="C87" s="4">
        <f>IFERROR(INDEX(Conversion!$C$2:$C$500,MATCH($A87,Conversion!$B$2:$B$500,0)),"NOT ASSIGNED")</f>
        <v/>
      </c>
    </row>
    <row r="88">
      <c r="A88" s="4" t="inlineStr">
        <is>
          <t>RVSW16C21-12CS</t>
        </is>
      </c>
      <c r="B88" s="4" t="inlineStr">
        <is>
          <t>St.st. hose tail 16mm x 1/2" BSP female screw cap with conical seal, 21mm collar and spring</t>
        </is>
      </c>
      <c r="C88" s="4">
        <f>IFERROR(INDEX(Conversion!$C$2:$C$500,MATCH($A88,Conversion!$B$2:$B$500,0)),"NOT ASSIGNED")</f>
        <v/>
      </c>
    </row>
    <row r="89">
      <c r="A89" s="4" t="inlineStr">
        <is>
          <t>RVSW16C21-12F</t>
        </is>
      </c>
      <c r="B89" s="4" t="inlineStr">
        <is>
          <t>St.st. hose tail 16mm x 1/2" BSP female screw cap with flat seal, 21mm collar</t>
        </is>
      </c>
      <c r="C89" s="4">
        <f>IFERROR(INDEX(Conversion!$C$2:$C$500,MATCH($A89,Conversion!$B$2:$B$500,0)),"NOT ASSIGNED")</f>
        <v/>
      </c>
    </row>
    <row r="90">
      <c r="A90" s="4" t="inlineStr">
        <is>
          <t>RVSW16C21-34F</t>
        </is>
      </c>
      <c r="B90" s="4" t="inlineStr">
        <is>
          <t>St.st. hose tail 16mm x 3/4" BSP female screw cap with flat seal, 21mm collar</t>
        </is>
      </c>
      <c r="C90" s="4">
        <f>IFERROR(INDEX(Conversion!$C$2:$C$500,MATCH($A90,Conversion!$B$2:$B$500,0)),"NOT ASSIGNED")</f>
        <v/>
      </c>
    </row>
    <row r="91">
      <c r="A91" s="4" t="inlineStr">
        <is>
          <t>RVSW19C24-34C</t>
        </is>
      </c>
      <c r="B91" s="4" t="inlineStr">
        <is>
          <t>St.st. hose tail 19mm x 3/4" BSP female screw cap with conical seal, 24mm collar</t>
        </is>
      </c>
      <c r="C91" s="4">
        <f>IFERROR(INDEX(Conversion!$C$2:$C$500,MATCH($A91,Conversion!$B$2:$B$500,0)),"NOT ASSIGNED")</f>
        <v/>
      </c>
    </row>
    <row r="92">
      <c r="A92" s="4" t="inlineStr">
        <is>
          <t>RVSW19C24-34F</t>
        </is>
      </c>
      <c r="B92" s="4" t="inlineStr">
        <is>
          <t>St.st. hose tail 19mm x 3/4" BSP female screw cap with flat seal, 24mm collar</t>
        </is>
      </c>
      <c r="C92" s="4">
        <f>IFERROR(INDEX(Conversion!$C$2:$C$500,MATCH($A92,Conversion!$B$2:$B$500,0)),"NOT ASSIGNED")</f>
        <v/>
      </c>
    </row>
    <row r="93">
      <c r="A93" s="4" t="inlineStr">
        <is>
          <t>RVSW19C24-1C</t>
        </is>
      </c>
      <c r="B93" s="4" t="inlineStr">
        <is>
          <t>St.st. hose tail 19mm x 1" BSP female screw cap with conical seal, 24mm collar</t>
        </is>
      </c>
      <c r="C93" s="4">
        <f>IFERROR(INDEX(Conversion!$C$2:$C$500,MATCH($A93,Conversion!$B$2:$B$500,0)),"NOT ASSIGNED")</f>
        <v/>
      </c>
    </row>
    <row r="94">
      <c r="A94" s="4" t="inlineStr">
        <is>
          <t>RVSW19C24-1F</t>
        </is>
      </c>
      <c r="B94" s="4" t="inlineStr">
        <is>
          <t>St.st. hose tail 19mm x 1" BSP female screw cap with flat seal, 24mm collar</t>
        </is>
      </c>
      <c r="C94" s="4">
        <f>IFERROR(INDEX(Conversion!$C$2:$C$500,MATCH($A94,Conversion!$B$2:$B$500,0)),"NOT ASSIGNED")</f>
        <v/>
      </c>
    </row>
    <row r="95">
      <c r="A95" s="4" t="inlineStr">
        <is>
          <t>RVSW25C36-1C</t>
        </is>
      </c>
      <c r="B95" s="4" t="inlineStr">
        <is>
          <t>St.st. hose tail 25mm x 1" BSP female screw cap with conical seal, 36mm collar</t>
        </is>
      </c>
      <c r="C95" s="4">
        <f>IFERROR(INDEX(Conversion!$C$2:$C$500,MATCH($A95,Conversion!$B$2:$B$500,0)),"NOT ASSIGNED")</f>
        <v/>
      </c>
    </row>
    <row r="96">
      <c r="A96" s="10" t="inlineStr">
        <is>
          <t>91 items at build time (column C updates as codes are added to the Conversion sheet).</t>
        </is>
      </c>
    </row>
    <row r="98">
      <c r="A98" s="3" t="inlineStr">
        <is>
          <t>2. Weights not printed in the AKBO 2026 catalogue (estimated - please confirm with AKBO)</t>
        </is>
      </c>
    </row>
    <row r="99">
      <c r="A99" s="16" t="inlineStr">
        <is>
          <t>AKBO code</t>
        </is>
      </c>
      <c r="B99" s="16" t="inlineStr">
        <is>
          <t>Estimated kg</t>
        </is>
      </c>
      <c r="C99" s="16" t="inlineStr">
        <is>
          <t>Basis</t>
        </is>
      </c>
    </row>
    <row r="100">
      <c r="A100" s="4" t="inlineStr">
        <is>
          <t>AKMBP01-BL</t>
        </is>
      </c>
      <c r="B100" s="35" t="n">
        <v>1.036</v>
      </c>
      <c r="C100" s="4" t="inlineStr">
        <is>
          <t>ESTIMATE - not tabulated; AKMB001-BL + trigger guard (AKMN delta)</t>
        </is>
      </c>
    </row>
    <row r="101">
      <c r="A101" s="4" t="inlineStr">
        <is>
          <t>AKRB001-BL</t>
        </is>
      </c>
      <c r="B101" s="35" t="n">
        <v>0.84</v>
      </c>
      <c r="C101" s="4" t="inlineStr">
        <is>
          <t>ESTIMATE - not tabulated; taken as AKMB001-BL</t>
        </is>
      </c>
    </row>
    <row r="102">
      <c r="A102" s="4" t="inlineStr">
        <is>
          <t>BABTA01-B</t>
        </is>
      </c>
      <c r="B102" s="35" t="n">
        <v>0.365</v>
      </c>
      <c r="C102" s="4" t="inlineStr">
        <is>
          <t>ESTIMATE - not in catalogue; taken as BABTLF1-BL</t>
        </is>
      </c>
    </row>
    <row r="103">
      <c r="A103" s="4" t="inlineStr">
        <is>
          <t>BABTNAA-B</t>
        </is>
      </c>
      <c r="B103" s="35" t="n">
        <v>0.37</v>
      </c>
      <c r="C103" s="4" t="inlineStr">
        <is>
          <t>ESTIMATE - not in catalogue; BABTN01-B + adapters</t>
        </is>
      </c>
    </row>
    <row r="104">
      <c r="A104" s="4" t="inlineStr">
        <is>
          <t>BMBTL01-B</t>
        </is>
      </c>
      <c r="B104" s="35" t="n">
        <v>0.65</v>
      </c>
      <c r="C104" s="4" t="inlineStr">
        <is>
          <t>ESTIMATE - not in catalogue; taken as BMBNN01-B</t>
        </is>
      </c>
    </row>
    <row r="105">
      <c r="A105" s="4" t="inlineStr">
        <is>
          <t>BMBTA01-B</t>
        </is>
      </c>
      <c r="B105" s="35" t="n">
        <v>0.65</v>
      </c>
      <c r="C105" s="4" t="inlineStr">
        <is>
          <t>ESTIMATE - not in catalogue; taken as BMBNN01-B</t>
        </is>
      </c>
    </row>
    <row r="106">
      <c r="A106" s="4" t="inlineStr">
        <is>
          <t>BMBTA02-B-V</t>
        </is>
      </c>
      <c r="B106" s="35" t="n">
        <v>0.65</v>
      </c>
      <c r="C106" s="4" t="inlineStr">
        <is>
          <t>ESTIMATE - not in catalogue; taken as BMBNN01-B</t>
        </is>
      </c>
    </row>
    <row r="107">
      <c r="A107" s="4" t="inlineStr">
        <is>
          <t>AKMSHHL1-BL</t>
        </is>
      </c>
      <c r="B107" s="35" t="n">
        <v>0.21</v>
      </c>
      <c r="C107" s="4" t="inlineStr">
        <is>
          <t>ESTIMATE - AKMSHL1-B 510 g less GRIPML1-B 300 g (p.53/55)</t>
        </is>
      </c>
    </row>
    <row r="108">
      <c r="A108" s="4" t="inlineStr">
        <is>
          <t>AKRSHHL1-BL</t>
        </is>
      </c>
      <c r="B108" s="35" t="n">
        <v>0.21</v>
      </c>
      <c r="C108" s="4" t="inlineStr">
        <is>
          <t>ESTIMATE - AKRSHL1-B 550 g less GRIPRL1-B 340 g (p.53/55)</t>
        </is>
      </c>
    </row>
    <row r="109">
      <c r="A109" s="4" t="inlineStr">
        <is>
          <t>AKWMS01</t>
        </is>
      </c>
      <c r="B109" s="35" t="n">
        <v>0.3</v>
      </c>
      <c r="C109" s="4" t="inlineStr">
        <is>
          <t>ESTIMATE - weight not in catalogue (p.45)</t>
        </is>
      </c>
    </row>
    <row r="110">
      <c r="A110" s="4" t="inlineStr">
        <is>
          <t>AKWMM01</t>
        </is>
      </c>
      <c r="B110" s="35" t="n">
        <v>0.3</v>
      </c>
      <c r="C110" s="4" t="inlineStr">
        <is>
          <t>ESTIMATE - weight not in catalogue (p.45)</t>
        </is>
      </c>
    </row>
    <row r="111">
      <c r="A111" s="4" t="inlineStr">
        <is>
          <t>AKWML01</t>
        </is>
      </c>
      <c r="B111" s="35" t="n">
        <v>0.3</v>
      </c>
      <c r="C111" s="4" t="inlineStr">
        <is>
          <t>ESTIMATE - weight not in catalogue (p.45)</t>
        </is>
      </c>
    </row>
    <row r="112">
      <c r="A112" s="4" t="inlineStr">
        <is>
          <t>AKWMR01</t>
        </is>
      </c>
      <c r="B112" s="35" t="n">
        <v>0.3</v>
      </c>
      <c r="C112" s="4" t="inlineStr">
        <is>
          <t>ESTIMATE - weight not in catalogue (p.45)</t>
        </is>
      </c>
    </row>
    <row r="113">
      <c r="A113" s="4" t="inlineStr">
        <is>
          <t>AKWRS01</t>
        </is>
      </c>
      <c r="B113" s="35" t="n">
        <v>0.3</v>
      </c>
      <c r="C113" s="4" t="inlineStr">
        <is>
          <t>ESTIMATE - weight not in catalogue (p.45)</t>
        </is>
      </c>
    </row>
    <row r="114">
      <c r="A114" s="4" t="inlineStr">
        <is>
          <t>AKWRM01</t>
        </is>
      </c>
      <c r="B114" s="35" t="n">
        <v>0.3</v>
      </c>
      <c r="C114" s="4" t="inlineStr">
        <is>
          <t>ESTIMATE - weight not in catalogue (p.45)</t>
        </is>
      </c>
    </row>
    <row r="115">
      <c r="A115" s="4" t="inlineStr">
        <is>
          <t>AKWRL01</t>
        </is>
      </c>
      <c r="B115" s="35" t="n">
        <v>0.3</v>
      </c>
      <c r="C115" s="4" t="inlineStr">
        <is>
          <t>ESTIMATE - weight not in catalogue (p.45)</t>
        </is>
      </c>
    </row>
    <row r="116">
      <c r="A116" s="4" t="inlineStr">
        <is>
          <t>AKWRR01</t>
        </is>
      </c>
      <c r="B116" s="35" t="n">
        <v>0.3</v>
      </c>
      <c r="C116" s="4" t="inlineStr">
        <is>
          <t>ESTIMATE - weight not in catalogue (p.45)</t>
        </is>
      </c>
    </row>
    <row r="117">
      <c r="A117" s="4" t="inlineStr">
        <is>
          <t>BWNM045</t>
        </is>
      </c>
      <c r="B117" s="35" t="n">
        <v>0.25</v>
      </c>
      <c r="C117" s="4" t="inlineStr">
        <is>
          <t>ESTIMATE - weight not in catalogue (p.46)</t>
        </is>
      </c>
    </row>
    <row r="118">
      <c r="A118" s="4" t="inlineStr">
        <is>
          <t>AKKS003-B-19</t>
        </is>
      </c>
      <c r="B118" s="35" t="n">
        <v>0.3</v>
      </c>
      <c r="C118" s="4" t="inlineStr">
        <is>
          <t>ESTIMATE - 260 g shower (p.26) + MESC019 hose tail est.</t>
        </is>
      </c>
    </row>
    <row r="119">
      <c r="A119" s="4" t="inlineStr">
        <is>
          <t>AKKS003-W-19</t>
        </is>
      </c>
      <c r="B119" s="35" t="n">
        <v>0.3</v>
      </c>
      <c r="C119" s="4" t="inlineStr">
        <is>
          <t>ESTIMATE - 260 g shower (p.26) + MESC019 hose tail est.</t>
        </is>
      </c>
    </row>
    <row r="120">
      <c r="A120" s="4" t="inlineStr">
        <is>
          <t>BALR001-B</t>
        </is>
      </c>
      <c r="B120" s="35" t="n">
        <v>0.4</v>
      </c>
      <c r="C120" s="4" t="inlineStr">
        <is>
          <t>ESTIMATE - weight not in catalogue (p.38)</t>
        </is>
      </c>
    </row>
    <row r="121">
      <c r="A121" s="4" t="inlineStr">
        <is>
          <t>BALRCP1-B</t>
        </is>
      </c>
      <c r="B121" s="35" t="n">
        <v>0.55</v>
      </c>
      <c r="C121" s="4" t="inlineStr">
        <is>
          <t>ESTIMATE - weight not in catalogue (p.38)</t>
        </is>
      </c>
    </row>
    <row r="122">
      <c r="A122" s="4" t="inlineStr">
        <is>
          <t>BALRCP1-NB</t>
        </is>
      </c>
      <c r="B122" s="35" t="n">
        <v>0.55</v>
      </c>
      <c r="C122" s="4" t="inlineStr">
        <is>
          <t>ESTIMATE - weight not in catalogue (p.38)</t>
        </is>
      </c>
    </row>
    <row r="123">
      <c r="A123" s="4" t="inlineStr">
        <is>
          <t>BARRCP2-B</t>
        </is>
      </c>
      <c r="B123" s="35" t="n">
        <v>0.6</v>
      </c>
      <c r="C123" s="4" t="inlineStr">
        <is>
          <t>ESTIMATE - weight not in catalogue (p.38)</t>
        </is>
      </c>
    </row>
    <row r="124">
      <c r="A124" s="4" t="inlineStr">
        <is>
          <t>SWM09-12</t>
        </is>
      </c>
      <c r="B124" s="35" t="n">
        <v>0.09</v>
      </c>
      <c r="C124" s="4" t="inlineStr">
        <is>
          <t>ESTIMATE - catalogue gives dimensions only (p.68-71)</t>
        </is>
      </c>
    </row>
    <row r="125">
      <c r="A125" s="4" t="inlineStr">
        <is>
          <t>SWM09-34</t>
        </is>
      </c>
      <c r="B125" s="35" t="n">
        <v>0.1</v>
      </c>
      <c r="C125" s="4" t="inlineStr">
        <is>
          <t>ESTIMATE - catalogue gives dimensions only (p.68-71)</t>
        </is>
      </c>
    </row>
    <row r="126">
      <c r="A126" s="4" t="inlineStr">
        <is>
          <t>SWM14-34</t>
        </is>
      </c>
      <c r="B126" s="35" t="n">
        <v>0.13</v>
      </c>
      <c r="C126" s="4" t="inlineStr">
        <is>
          <t>ESTIMATE - catalogue gives dimensions only (p.68-71)</t>
        </is>
      </c>
    </row>
    <row r="127">
      <c r="A127" s="4" t="inlineStr">
        <is>
          <t>SWM14-34X34</t>
        </is>
      </c>
      <c r="B127" s="35" t="n">
        <v>0.15</v>
      </c>
      <c r="C127" s="4" t="inlineStr">
        <is>
          <t>ESTIMATE - catalogue gives dimensions only (p.68-71)</t>
        </is>
      </c>
    </row>
    <row r="128">
      <c r="A128" s="4" t="inlineStr">
        <is>
          <t>SWM18-1X1</t>
        </is>
      </c>
      <c r="B128" s="35" t="n">
        <v>0.25</v>
      </c>
      <c r="C128" s="4" t="inlineStr">
        <is>
          <t>ESTIMATE - catalogue gives dimensions only (p.68-71)</t>
        </is>
      </c>
    </row>
    <row r="129">
      <c r="A129" s="4" t="inlineStr">
        <is>
          <t>SWM09-12MX12M</t>
        </is>
      </c>
      <c r="B129" s="35" t="n">
        <v>0.09</v>
      </c>
      <c r="C129" s="4" t="inlineStr">
        <is>
          <t>ESTIMATE - catalogue gives dimensions only (p.68-71)</t>
        </is>
      </c>
    </row>
    <row r="130">
      <c r="A130" s="4" t="inlineStr">
        <is>
          <t>SWM09-12MX34M</t>
        </is>
      </c>
      <c r="B130" s="35" t="n">
        <v>0.1</v>
      </c>
      <c r="C130" s="4" t="inlineStr">
        <is>
          <t>ESTIMATE - catalogue gives dimensions only (p.68-71)</t>
        </is>
      </c>
    </row>
    <row r="131">
      <c r="A131" s="4" t="inlineStr">
        <is>
          <t>SWC09-12</t>
        </is>
      </c>
      <c r="B131" s="35" t="n">
        <v>0.09</v>
      </c>
      <c r="C131" s="4" t="inlineStr">
        <is>
          <t>ESTIMATE - catalogue gives dimensions only (p.68-71)</t>
        </is>
      </c>
    </row>
    <row r="132">
      <c r="A132" s="4" t="inlineStr">
        <is>
          <t>SWC09-34</t>
        </is>
      </c>
      <c r="B132" s="35" t="n">
        <v>0.1</v>
      </c>
      <c r="C132" s="4" t="inlineStr">
        <is>
          <t>ESTIMATE - catalogue gives dimensions only (p.68-71)</t>
        </is>
      </c>
    </row>
    <row r="133">
      <c r="A133" s="4" t="inlineStr">
        <is>
          <t>SWR09-12</t>
        </is>
      </c>
      <c r="B133" s="35" t="n">
        <v>0.09</v>
      </c>
      <c r="C133" s="4" t="inlineStr">
        <is>
          <t>ESTIMATE - catalogue gives dimensions only (p.68-71)</t>
        </is>
      </c>
    </row>
    <row r="134">
      <c r="A134" s="4" t="inlineStr">
        <is>
          <t>SWR09-34</t>
        </is>
      </c>
      <c r="B134" s="35" t="n">
        <v>0.1</v>
      </c>
      <c r="C134" s="4" t="inlineStr">
        <is>
          <t>ESTIMATE - catalogue gives dimensions only (p.68-71)</t>
        </is>
      </c>
    </row>
    <row r="135">
      <c r="A135" s="4" t="inlineStr">
        <is>
          <t>SWR14-34</t>
        </is>
      </c>
      <c r="B135" s="35" t="n">
        <v>0.13</v>
      </c>
      <c r="C135" s="4" t="inlineStr">
        <is>
          <t>ESTIMATE - catalogue gives dimensions only (p.68-71)</t>
        </is>
      </c>
    </row>
    <row r="136">
      <c r="A136" s="4" t="inlineStr">
        <is>
          <t>SWR14-34X34</t>
        </is>
      </c>
      <c r="B136" s="35" t="n">
        <v>0.15</v>
      </c>
      <c r="C136" s="4" t="inlineStr">
        <is>
          <t>ESTIMATE - catalogue gives dimensions only (p.68-71)</t>
        </is>
      </c>
    </row>
    <row r="137">
      <c r="A137" s="4" t="inlineStr">
        <is>
          <t>SWR18-1X1</t>
        </is>
      </c>
      <c r="B137" s="35" t="n">
        <v>0.25</v>
      </c>
      <c r="C137" s="4" t="inlineStr">
        <is>
          <t>ESTIMATE - catalogue gives dimensions only (p.68-71)</t>
        </is>
      </c>
    </row>
    <row r="138">
      <c r="A138" s="4" t="inlineStr">
        <is>
          <t>SWR09-12Mx12M</t>
        </is>
      </c>
      <c r="B138" s="35" t="n">
        <v>0.09</v>
      </c>
      <c r="C138" s="4" t="inlineStr">
        <is>
          <t>ESTIMATE - catalogue gives dimensions only (p.68-71)</t>
        </is>
      </c>
    </row>
    <row r="139">
      <c r="A139" s="4" t="inlineStr">
        <is>
          <t>SWR09-12MX34M</t>
        </is>
      </c>
      <c r="B139" s="35" t="n">
        <v>0.1</v>
      </c>
      <c r="C139" s="4" t="inlineStr">
        <is>
          <t>ESTIMATE - catalogue gives dimensions only (p.68-71)</t>
        </is>
      </c>
    </row>
    <row r="140">
      <c r="A140" s="4" t="inlineStr">
        <is>
          <t>SWIFM1/2</t>
        </is>
      </c>
      <c r="B140" s="35" t="n">
        <v>0.06</v>
      </c>
      <c r="C140" s="4" t="inlineStr">
        <is>
          <t>ESTIMATE - catalogue gives dimensions only (p.68-71)</t>
        </is>
      </c>
    </row>
    <row r="141">
      <c r="A141" s="4" t="inlineStr">
        <is>
          <t>SWIFR1/2</t>
        </is>
      </c>
      <c r="B141" s="35" t="n">
        <v>0.06</v>
      </c>
      <c r="C141" s="4" t="inlineStr">
        <is>
          <t>ESTIMATE - catalogue gives dimensions only (p.68-71)</t>
        </is>
      </c>
    </row>
    <row r="142">
      <c r="A142" s="4" t="inlineStr">
        <is>
          <t>SWIFB10</t>
        </is>
      </c>
      <c r="B142" s="35" t="n">
        <v>0.08</v>
      </c>
      <c r="C142" s="4" t="inlineStr">
        <is>
          <t>ESTIMATE - catalogue gives dimensions only (p.68-71)</t>
        </is>
      </c>
    </row>
    <row r="143">
      <c r="A143" s="4" t="inlineStr">
        <is>
          <t>SWIFB13-C17</t>
        </is>
      </c>
      <c r="B143" s="35" t="n">
        <v>0.09</v>
      </c>
      <c r="C143" s="4" t="inlineStr">
        <is>
          <t>ESTIMATE - catalogue gives dimensions only (p.68-71)</t>
        </is>
      </c>
    </row>
    <row r="144">
      <c r="A144" s="4" t="inlineStr">
        <is>
          <t>SWIFB13-C17-SP</t>
        </is>
      </c>
      <c r="B144" s="35" t="n">
        <v>0.13</v>
      </c>
      <c r="C144" s="4" t="inlineStr">
        <is>
          <t>ESTIMATE - catalogue gives dimensions only (p.68-71)</t>
        </is>
      </c>
    </row>
    <row r="145">
      <c r="A145" s="4" t="inlineStr">
        <is>
          <t>SWIFB13-C20</t>
        </is>
      </c>
      <c r="B145" s="35" t="n">
        <v>0.09</v>
      </c>
      <c r="C145" s="4" t="inlineStr">
        <is>
          <t>ESTIMATE - catalogue gives dimensions only (p.68-71)</t>
        </is>
      </c>
    </row>
    <row r="146">
      <c r="A146" s="4" t="inlineStr">
        <is>
          <t>SWIFB13-C20-SP</t>
        </is>
      </c>
      <c r="B146" s="35" t="n">
        <v>0.13</v>
      </c>
      <c r="C146" s="4" t="inlineStr">
        <is>
          <t>ESTIMATE - catalogue gives dimensions only (p.68-71)</t>
        </is>
      </c>
    </row>
    <row r="147">
      <c r="A147" s="4" t="inlineStr">
        <is>
          <t>SWIFB16-C21</t>
        </is>
      </c>
      <c r="B147" s="35" t="n">
        <v>0.1</v>
      </c>
      <c r="C147" s="4" t="inlineStr">
        <is>
          <t>ESTIMATE - catalogue gives dimensions only (p.68-71)</t>
        </is>
      </c>
    </row>
    <row r="148">
      <c r="A148" s="4" t="inlineStr">
        <is>
          <t>SWIFB16-C21-SP</t>
        </is>
      </c>
      <c r="B148" s="35" t="n">
        <v>0.14</v>
      </c>
      <c r="C148" s="4" t="inlineStr">
        <is>
          <t>ESTIMATE - catalogue gives dimensions only (p.68-71)</t>
        </is>
      </c>
    </row>
    <row r="149">
      <c r="A149" s="4" t="inlineStr">
        <is>
          <t>SWIFB19-C24</t>
        </is>
      </c>
      <c r="B149" s="35" t="n">
        <v>0.12</v>
      </c>
      <c r="C149" s="4" t="inlineStr">
        <is>
          <t>ESTIMATE - catalogue gives dimensions only (p.68-71)</t>
        </is>
      </c>
    </row>
    <row r="150">
      <c r="A150" s="4" t="inlineStr">
        <is>
          <t>SWIFB19-C24-34</t>
        </is>
      </c>
      <c r="B150" s="35" t="n">
        <v>0.13</v>
      </c>
      <c r="C150" s="4" t="inlineStr">
        <is>
          <t>ESTIMATE - catalogue gives dimensions only (p.68-71)</t>
        </is>
      </c>
    </row>
    <row r="151">
      <c r="A151" s="4" t="inlineStr">
        <is>
          <t>SWIFB19-C24-34S</t>
        </is>
      </c>
      <c r="B151" s="35" t="n">
        <v>0.17</v>
      </c>
      <c r="C151" s="4" t="inlineStr">
        <is>
          <t>ESTIMATE - catalogue gives dimensions only (p.68-71)</t>
        </is>
      </c>
    </row>
    <row r="152">
      <c r="A152" s="4" t="inlineStr">
        <is>
          <t>SWIFB19-C24-SP</t>
        </is>
      </c>
      <c r="B152" s="35" t="n">
        <v>0.16</v>
      </c>
      <c r="C152" s="4" t="inlineStr">
        <is>
          <t>ESTIMATE - catalogue gives dimensions only (p.68-71)</t>
        </is>
      </c>
    </row>
    <row r="153">
      <c r="A153" s="4" t="inlineStr">
        <is>
          <t>MESS013</t>
        </is>
      </c>
      <c r="B153" s="35" t="n">
        <v>0.03</v>
      </c>
      <c r="C153" s="4" t="inlineStr">
        <is>
          <t>ESTIMATE - catalogue gives dimensions only (p.68-71)</t>
        </is>
      </c>
    </row>
    <row r="154">
      <c r="A154" s="4" t="inlineStr">
        <is>
          <t>MESS019</t>
        </is>
      </c>
      <c r="B154" s="35" t="n">
        <v>0.04</v>
      </c>
      <c r="C154" s="4" t="inlineStr">
        <is>
          <t>ESTIMATE - catalogue gives dimensions only (p.68-71)</t>
        </is>
      </c>
    </row>
    <row r="155">
      <c r="A155" s="4" t="inlineStr">
        <is>
          <t>MESS025</t>
        </is>
      </c>
      <c r="B155" s="35" t="n">
        <v>0.06</v>
      </c>
      <c r="C155" s="4" t="inlineStr">
        <is>
          <t>ESTIMATE - catalogue gives dimensions only (p.68-71)</t>
        </is>
      </c>
    </row>
    <row r="156">
      <c r="A156" s="4" t="inlineStr">
        <is>
          <t>MESC013</t>
        </is>
      </c>
      <c r="B156" s="35" t="n">
        <v>0.035</v>
      </c>
      <c r="C156" s="4" t="inlineStr">
        <is>
          <t>ESTIMATE - catalogue gives dimensions only (p.68-71)</t>
        </is>
      </c>
    </row>
    <row r="157">
      <c r="A157" s="4" t="inlineStr">
        <is>
          <t>MESC016</t>
        </is>
      </c>
      <c r="B157" s="35" t="n">
        <v>0.04</v>
      </c>
      <c r="C157" s="4" t="inlineStr">
        <is>
          <t>ESTIMATE - catalogue gives dimensions only (p.68-71)</t>
        </is>
      </c>
    </row>
    <row r="158">
      <c r="A158" s="4" t="inlineStr">
        <is>
          <t>MESC019</t>
        </is>
      </c>
      <c r="B158" s="35" t="n">
        <v>0.045</v>
      </c>
      <c r="C158" s="4" t="inlineStr">
        <is>
          <t>ESTIMATE - catalogue gives dimensions only (p.68-71)</t>
        </is>
      </c>
    </row>
    <row r="159">
      <c r="A159" s="4" t="inlineStr">
        <is>
          <t>RVST013-C17</t>
        </is>
      </c>
      <c r="B159" s="35" t="n">
        <v>0.04</v>
      </c>
      <c r="C159" s="4" t="inlineStr">
        <is>
          <t>ESTIMATE - catalogue gives dimensions only (p.68-71)</t>
        </is>
      </c>
    </row>
    <row r="160">
      <c r="A160" s="4" t="inlineStr">
        <is>
          <t>RVST013-C17-SP</t>
        </is>
      </c>
      <c r="B160" s="35" t="n">
        <v>0.08</v>
      </c>
      <c r="C160" s="4" t="inlineStr">
        <is>
          <t>ESTIMATE - catalogue gives dimensions only (p.68-71)</t>
        </is>
      </c>
    </row>
    <row r="161">
      <c r="A161" s="4" t="inlineStr">
        <is>
          <t>RVST013-C20</t>
        </is>
      </c>
      <c r="B161" s="35" t="n">
        <v>0.04</v>
      </c>
      <c r="C161" s="4" t="inlineStr">
        <is>
          <t>ESTIMATE - catalogue gives dimensions only (p.68-71)</t>
        </is>
      </c>
    </row>
    <row r="162">
      <c r="A162" s="4" t="inlineStr">
        <is>
          <t>RVST013-C20-12F</t>
        </is>
      </c>
      <c r="B162" s="35" t="n">
        <v>0.05</v>
      </c>
      <c r="C162" s="4" t="inlineStr">
        <is>
          <t>ESTIMATE - catalogue gives dimensions only (p.68-71)</t>
        </is>
      </c>
    </row>
    <row r="163">
      <c r="A163" s="4" t="inlineStr">
        <is>
          <t>RVST013-C20-34F</t>
        </is>
      </c>
      <c r="B163" s="35" t="n">
        <v>0.06</v>
      </c>
      <c r="C163" s="4" t="inlineStr">
        <is>
          <t>ESTIMATE - catalogue gives dimensions only (p.68-71)</t>
        </is>
      </c>
    </row>
    <row r="164">
      <c r="A164" s="4" t="inlineStr">
        <is>
          <t>RVST013-C20-SP</t>
        </is>
      </c>
      <c r="B164" s="35" t="n">
        <v>0.08</v>
      </c>
      <c r="C164" s="4" t="inlineStr">
        <is>
          <t>ESTIMATE - catalogue gives dimensions only (p.68-71)</t>
        </is>
      </c>
    </row>
    <row r="165">
      <c r="A165" s="4" t="inlineStr">
        <is>
          <t>RVST016-C21</t>
        </is>
      </c>
      <c r="B165" s="35" t="n">
        <v>0.05</v>
      </c>
      <c r="C165" s="4" t="inlineStr">
        <is>
          <t>ESTIMATE - catalogue gives dimensions only (p.68-71)</t>
        </is>
      </c>
    </row>
    <row r="166">
      <c r="A166" s="4" t="inlineStr">
        <is>
          <t>RVST016-C21-SP</t>
        </is>
      </c>
      <c r="B166" s="35" t="n">
        <v>0.09</v>
      </c>
      <c r="C166" s="4" t="inlineStr">
        <is>
          <t>ESTIMATE - catalogue gives dimensions only (p.68-71)</t>
        </is>
      </c>
    </row>
    <row r="167">
      <c r="A167" s="4" t="inlineStr">
        <is>
          <t>RVST019-C24</t>
        </is>
      </c>
      <c r="B167" s="35" t="n">
        <v>0.06</v>
      </c>
      <c r="C167" s="4" t="inlineStr">
        <is>
          <t>ESTIMATE - catalogue gives dimensions only (p.68-71)</t>
        </is>
      </c>
    </row>
    <row r="168">
      <c r="A168" s="4" t="inlineStr">
        <is>
          <t>RVST019-C24-SP</t>
        </is>
      </c>
      <c r="B168" s="35" t="n">
        <v>0.1</v>
      </c>
      <c r="C168" s="4" t="inlineStr">
        <is>
          <t>ESTIMATE - catalogue gives dimensions only (p.68-71)</t>
        </is>
      </c>
    </row>
    <row r="169">
      <c r="A169" s="4" t="inlineStr">
        <is>
          <t>RVST025</t>
        </is>
      </c>
      <c r="B169" s="35" t="n">
        <v>0.06</v>
      </c>
      <c r="C169" s="4" t="inlineStr">
        <is>
          <t>ESTIMATE - catalogue gives dimensions only (p.68-71)</t>
        </is>
      </c>
    </row>
    <row r="170">
      <c r="A170" s="4" t="inlineStr">
        <is>
          <t>RVSW13C17-12C</t>
        </is>
      </c>
      <c r="B170" s="35" t="n">
        <v>0.06</v>
      </c>
      <c r="C170" s="4" t="inlineStr">
        <is>
          <t>ESTIMATE - catalogue gives dimensions only (p.68-71)</t>
        </is>
      </c>
    </row>
    <row r="171">
      <c r="A171" s="4" t="inlineStr">
        <is>
          <t>RVSW13C17-34F</t>
        </is>
      </c>
      <c r="B171" s="35" t="n">
        <v>0.07000000000000001</v>
      </c>
      <c r="C171" s="4" t="inlineStr">
        <is>
          <t>ESTIMATE - catalogue gives dimensions only (p.68-71)</t>
        </is>
      </c>
    </row>
    <row r="172">
      <c r="A172" s="4" t="inlineStr">
        <is>
          <t>RVSW13C20-12C</t>
        </is>
      </c>
      <c r="B172" s="35" t="n">
        <v>0.06</v>
      </c>
      <c r="C172" s="4" t="inlineStr">
        <is>
          <t>ESTIMATE - catalogue gives dimensions only (p.68-71)</t>
        </is>
      </c>
    </row>
    <row r="173">
      <c r="A173" s="4" t="inlineStr">
        <is>
          <t>RVSW13C20-12F</t>
        </is>
      </c>
      <c r="B173" s="35" t="n">
        <v>0.06</v>
      </c>
      <c r="C173" s="4" t="inlineStr">
        <is>
          <t>ESTIMATE - catalogue gives dimensions only (p.68-71)</t>
        </is>
      </c>
    </row>
    <row r="174">
      <c r="A174" s="4" t="inlineStr">
        <is>
          <t>RVSW13C20-12FS</t>
        </is>
      </c>
      <c r="B174" s="35" t="n">
        <v>0.1</v>
      </c>
      <c r="C174" s="4" t="inlineStr">
        <is>
          <t>ESTIMATE - catalogue gives dimensions only (p.68-71)</t>
        </is>
      </c>
    </row>
    <row r="175">
      <c r="A175" s="4" t="inlineStr">
        <is>
          <t>RVSW13C20-34F</t>
        </is>
      </c>
      <c r="B175" s="35" t="n">
        <v>0.07000000000000001</v>
      </c>
      <c r="C175" s="4" t="inlineStr">
        <is>
          <t>ESTIMATE - catalogue gives dimensions only (p.68-71)</t>
        </is>
      </c>
    </row>
    <row r="176">
      <c r="A176" s="4" t="inlineStr">
        <is>
          <t>RVSW16C21-12C</t>
        </is>
      </c>
      <c r="B176" s="35" t="n">
        <v>0.07000000000000001</v>
      </c>
      <c r="C176" s="4" t="inlineStr">
        <is>
          <t>ESTIMATE - catalogue gives dimensions only (p.68-71)</t>
        </is>
      </c>
    </row>
    <row r="177">
      <c r="A177" s="4" t="inlineStr">
        <is>
          <t>RVSW16C21-12CS</t>
        </is>
      </c>
      <c r="B177" s="35" t="n">
        <v>0.11</v>
      </c>
      <c r="C177" s="4" t="inlineStr">
        <is>
          <t>ESTIMATE - catalogue gives dimensions only (p.68-71)</t>
        </is>
      </c>
    </row>
    <row r="178">
      <c r="A178" s="4" t="inlineStr">
        <is>
          <t>RVSW16C21-12F</t>
        </is>
      </c>
      <c r="B178" s="35" t="n">
        <v>0.07000000000000001</v>
      </c>
      <c r="C178" s="4" t="inlineStr">
        <is>
          <t>ESTIMATE - catalogue gives dimensions only (p.68-71)</t>
        </is>
      </c>
    </row>
    <row r="179">
      <c r="A179" s="4" t="inlineStr">
        <is>
          <t>RVSW16C21-34F</t>
        </is>
      </c>
      <c r="B179" s="35" t="n">
        <v>0.08</v>
      </c>
      <c r="C179" s="4" t="inlineStr">
        <is>
          <t>ESTIMATE - catalogue gives dimensions only (p.68-71)</t>
        </is>
      </c>
    </row>
    <row r="180">
      <c r="A180" s="4" t="inlineStr">
        <is>
          <t>RVSW19C24-34C</t>
        </is>
      </c>
      <c r="B180" s="35" t="n">
        <v>0.09</v>
      </c>
      <c r="C180" s="4" t="inlineStr">
        <is>
          <t>ESTIMATE - catalogue gives dimensions only (p.68-71)</t>
        </is>
      </c>
    </row>
    <row r="181">
      <c r="A181" s="4" t="inlineStr">
        <is>
          <t>RVSW19C24-34F</t>
        </is>
      </c>
      <c r="B181" s="35" t="n">
        <v>0.09</v>
      </c>
      <c r="C181" s="4" t="inlineStr">
        <is>
          <t>ESTIMATE - catalogue gives dimensions only (p.68-71)</t>
        </is>
      </c>
    </row>
    <row r="182">
      <c r="A182" s="4" t="inlineStr">
        <is>
          <t>RVSW19C24-1C</t>
        </is>
      </c>
      <c r="B182" s="35" t="n">
        <v>0.11</v>
      </c>
      <c r="C182" s="4" t="inlineStr">
        <is>
          <t>ESTIMATE - catalogue gives dimensions only (p.68-71)</t>
        </is>
      </c>
    </row>
    <row r="183">
      <c r="A183" s="4" t="inlineStr">
        <is>
          <t>RVSW19C24-1F</t>
        </is>
      </c>
      <c r="B183" s="35" t="n">
        <v>0.11</v>
      </c>
      <c r="C183" s="4" t="inlineStr">
        <is>
          <t>ESTIMATE - catalogue gives dimensions only (p.68-71)</t>
        </is>
      </c>
    </row>
    <row r="184">
      <c r="A184" s="4" t="inlineStr">
        <is>
          <t>RVSW25C36-1C</t>
        </is>
      </c>
      <c r="B184" s="35" t="n">
        <v>0.13</v>
      </c>
      <c r="C184" s="4" t="inlineStr">
        <is>
          <t>ESTIMATE - catalogue gives dimensions only (p.68-71)</t>
        </is>
      </c>
    </row>
    <row r="186">
      <c r="A186" s="3" t="inlineStr">
        <is>
          <t>3. Part-number / data queries</t>
        </is>
      </c>
    </row>
    <row r="187">
      <c r="A187" s="4" t="inlineStr">
        <is>
          <t>BRFTP03-B-PRIN</t>
        </is>
      </c>
      <c r="C187" s="4" t="inlineStr">
        <is>
          <t>Pricelist code BRFTP03 vs catalogue/conversion BRFTP13 - confirm with AKBO.</t>
        </is>
      </c>
    </row>
    <row r="188">
      <c r="A188" s="4" t="inlineStr">
        <is>
          <t>AKR001-B</t>
        </is>
      </c>
      <c r="C188" s="4" t="inlineStr">
        <is>
          <t>Catalogue code is AKRS001-B - confirm with AKBO.</t>
        </is>
      </c>
    </row>
    <row r="189">
      <c r="A189" s="4" t="inlineStr">
        <is>
          <t>AKMBP01-BL</t>
        </is>
      </c>
      <c r="C189" s="4" t="inlineStr">
        <is>
          <t>Catalogue only lists AKMBP01-B-SWM14-3/4 (with swivel) - confirm model.</t>
        </is>
      </c>
    </row>
    <row r="190">
      <c r="A190" s="4" t="inlineStr">
        <is>
          <t>AKRB001-BL</t>
        </is>
      </c>
      <c r="C190" s="4" t="inlineStr">
        <is>
          <t>Not in Classic High-Flow brochure (brass only) - series name to confirm.</t>
        </is>
      </c>
    </row>
    <row r="191">
      <c r="A191" s="4" t="inlineStr">
        <is>
          <t>AKRB001-BL</t>
        </is>
      </c>
      <c r="C191" s="4" t="inlineStr">
        <is>
          <t>Conversion table: 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192">
      <c r="A192" s="4" t="inlineStr">
        <is>
          <t>AKRHP01-R</t>
        </is>
      </c>
      <c r="C192" s="4" t="inlineStr">
        <is>
          <t>Conversion table: Body text calls the base model "AKRHP01-R" but the technical-data table heads its column "AKRHP02-R" - confirm which is correct with AKBO</t>
        </is>
      </c>
    </row>
    <row r="193">
      <c r="A193" s="4" t="inlineStr">
        <is>
          <t>AKRHP02-R-L40</t>
        </is>
      </c>
      <c r="C193" s="4" t="inlineStr">
        <is>
          <t>Conversion table: Table heading drops the "-R-" and reads "AKRHP02-L40" - confirm exact number with AKBO</t>
        </is>
      </c>
    </row>
    <row r="194">
      <c r="A194" s="4" t="inlineStr">
        <is>
          <t>BABTLF1-BL</t>
        </is>
      </c>
      <c r="C194" s="4" t="inlineStr">
        <is>
          <t>Conversion table: 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195">
      <c r="A195" s="4" t="inlineStr">
        <is>
          <t>AKMSHHL1-BL</t>
        </is>
      </c>
      <c r="C195" s="4" t="inlineStr">
        <is>
          <t>Conversion table: Technical-data table only lists dimensions/weight for the with-handle assemblies (AKMSHL1-B/AKRSHL1-B) - head-only weight not separately tabulated on this page</t>
        </is>
      </c>
    </row>
    <row r="196">
      <c r="A196" s="4" t="inlineStr">
        <is>
          <t>AKRSHHL1-BL</t>
        </is>
      </c>
      <c r="C196" s="4" t="inlineStr">
        <is>
          <t>Conversion table: Technical-data table only lists dimensions/weight for the with-handle assemblies - head-only weight not separately tabulated on this page</t>
        </is>
      </c>
    </row>
    <row r="197">
      <c r="A197" s="4" t="inlineStr">
        <is>
          <t>AKRSHW3-W</t>
        </is>
      </c>
      <c r="C197" s="4" t="inlineStr">
        <is>
          <t>Conversion table: Part number breaks the "03" pattern of its blue/red siblings (AKRSH03-B/R) - consistently printed as AKRSHW3-W in both body text and image caption, so likely intentional, but worth confirming with AKBO</t>
        </is>
      </c>
    </row>
    <row r="198">
      <c r="A198" s="4" t="inlineStr">
        <is>
          <t>AGIL572 / AKAWLU1-B</t>
        </is>
      </c>
      <c r="C198" s="4" t="inlineStr">
        <is>
          <t>AKBO give one price plus a pack-qty offer (48 pcs EUR 9.87 / 20 pcs EUR 66.81) - priced at the first break, offer kept as a note.</t>
        </is>
      </c>
    </row>
    <row r="199">
      <c r="A199" s="4" t="inlineStr">
        <is>
          <t>Heavy duty spray guns</t>
        </is>
      </c>
      <c r="C199" s="4" t="inlineStr">
        <is>
          <t>AKBO give no &gt;=50 pcs price for most guns - left blank.</t>
        </is>
      </c>
    </row>
    <row r="201">
      <c r="A201" s="3" t="inlineStr">
        <is>
          <t>4. AKBO items left off the pricelist (not sold by Nozzleworks)</t>
        </is>
      </c>
    </row>
    <row r="202">
      <c r="A202" s="4" t="inlineStr">
        <is>
          <t>AKMNP01-B-SW12</t>
        </is>
      </c>
      <c r="B202" s="4" t="inlineStr">
        <is>
          <t>Brass water gun, with trigger protection, ball bearing swivel input 1/2"F, blue</t>
        </is>
      </c>
      <c r="C202" s="4" t="inlineStr">
        <is>
          <t>Swivel variant - not sold (removed from v3 brochures).</t>
        </is>
      </c>
    </row>
    <row r="203">
      <c r="A203" s="4" t="inlineStr">
        <is>
          <t>AKMNP01-B-SW34</t>
        </is>
      </c>
      <c r="B203" s="4" t="inlineStr">
        <is>
          <t>Brass water gun, with trigger protection, ball bearing swivel input 3/4"F, blue</t>
        </is>
      </c>
      <c r="C203" s="4" t="inlineStr">
        <is>
          <t>Swivel variant - not sold (removed from v3 brochures).</t>
        </is>
      </c>
    </row>
  </sheetData>
  <conditionalFormatting sqref="C5:C95">
    <cfRule type="expression" priority="1" dxfId="1">
      <formula>$C5="NOT ASSIGNED"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2026-10-06T04:10:25Z</dcterms:created>
  <dcterms:modified xsi:type="dcterms:W3CDTF">2026-10-06T04:10:25Z</dcterms:modified>
</cp:coreProperties>
</file>